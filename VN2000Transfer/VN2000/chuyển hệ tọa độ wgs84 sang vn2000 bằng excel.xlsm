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docProps/core.xml" ContentType="application/vnd.openxmlformats-package.core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metadata" ContentType="application/binary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TART" sheetId="1" r:id="rId5"/>
    <sheet state="hidden" name="UTM_GEO" sheetId="2" r:id="rId6"/>
    <sheet state="hidden" name="GEO_GEOCENTRIC" sheetId="3" r:id="rId7"/>
    <sheet state="hidden" name="TRANS 7 PARAMETERS" sheetId="4" r:id="rId8"/>
    <sheet state="hidden" name="GEOCENTRIC_GEO" sheetId="5" r:id="rId9"/>
    <sheet state="hidden" name="GEO_UTM" sheetId="6" r:id="rId10"/>
    <sheet state="hidden" name="OPTION_PARAMETER" sheetId="7" r:id="rId11"/>
    <sheet state="visible" name="LIST_COORDINATE" sheetId="8" r:id="rId12"/>
    <sheet state="visible" name="ABOUT" sheetId="9" r:id="rId13"/>
  </sheets>
  <definedNames/>
  <calcPr/>
  <extLst>
    <ext uri="GoogleSheetsCustomDataVersion1">
      <go:sheetsCustomData xmlns:go="http://customooxmlschemas.google.com/" r:id="rId14" roundtripDataSignature="AMtx7miLk/Mcne3GYxR0bUlNzMU0rRaTtw=="/>
    </ext>
  </extLst>
</workbook>
</file>

<file path=xl/sharedStrings.xml><?xml version="1.0" encoding="utf-8"?>
<sst xmlns="http://schemas.openxmlformats.org/spreadsheetml/2006/main" count="254" uniqueCount="170">
  <si>
    <t>SELECT YOUR CHOICE :</t>
  </si>
  <si>
    <t>Input</t>
  </si>
  <si>
    <t>Output</t>
  </si>
  <si>
    <t>STT</t>
  </si>
  <si>
    <t xml:space="preserve"> Tỉnh, thành phố</t>
  </si>
  <si>
    <t xml:space="preserve"> Kinh tuyến trục</t>
  </si>
  <si>
    <t>Lai Châu</t>
  </si>
  <si>
    <t>DEMO 1 cặp điểm</t>
  </si>
  <si>
    <t>X (m)</t>
  </si>
  <si>
    <t xml:space="preserve">Sơn La </t>
  </si>
  <si>
    <t>Y (m):</t>
  </si>
  <si>
    <t xml:space="preserve">Kiên Giang </t>
  </si>
  <si>
    <t xml:space="preserve">Cà Mau </t>
  </si>
  <si>
    <t>Zone</t>
  </si>
  <si>
    <t>MC:</t>
  </si>
  <si>
    <t xml:space="preserve">Lào Cai </t>
  </si>
  <si>
    <t>False Easting</t>
  </si>
  <si>
    <t xml:space="preserve">Yên Bái </t>
  </si>
  <si>
    <t>False Northing</t>
  </si>
  <si>
    <t xml:space="preserve">Nghệ An </t>
  </si>
  <si>
    <t>Scale Factor</t>
  </si>
  <si>
    <t>Phú Thọ</t>
  </si>
  <si>
    <t xml:space="preserve">An Giang </t>
  </si>
  <si>
    <t>Ellipsoid</t>
  </si>
  <si>
    <t>WGS84</t>
  </si>
  <si>
    <t>Thanh Hoá</t>
  </si>
  <si>
    <t>Semimajor a:</t>
  </si>
  <si>
    <t xml:space="preserve">Vĩnh Phúc </t>
  </si>
  <si>
    <t>Semiminor b:</t>
  </si>
  <si>
    <t xml:space="preserve">Hà Tây </t>
  </si>
  <si>
    <t>1 / f:</t>
  </si>
  <si>
    <t>Đồng Tháp</t>
  </si>
  <si>
    <t>Cần Thơ</t>
  </si>
  <si>
    <t xml:space="preserve">Bạc Liêu </t>
  </si>
  <si>
    <t xml:space="preserve">Hà Nội </t>
  </si>
  <si>
    <t>7 PARAMETERS TO TRANSFORM VN2000 TO WGS84</t>
  </si>
  <si>
    <t>Ninh Bình</t>
  </si>
  <si>
    <t xml:space="preserve">DELTA_X </t>
  </si>
  <si>
    <t>DELTA_Y</t>
  </si>
  <si>
    <t>DELTA_Z</t>
  </si>
  <si>
    <t>ROT_X</t>
  </si>
  <si>
    <t>ROT_Y</t>
  </si>
  <si>
    <t>ROT_Z</t>
  </si>
  <si>
    <t>BWSCALE</t>
  </si>
  <si>
    <t>Hà Nam</t>
  </si>
  <si>
    <t xml:space="preserve">Hà Giang </t>
  </si>
  <si>
    <t xml:space="preserve">Hải Dương </t>
  </si>
  <si>
    <t>Hà Tĩnh</t>
  </si>
  <si>
    <t>Bắc Ninh</t>
  </si>
  <si>
    <t>Hưng Yên</t>
  </si>
  <si>
    <t>Thái Bình</t>
  </si>
  <si>
    <t>Nam Định</t>
  </si>
  <si>
    <t>Tây Ninh</t>
  </si>
  <si>
    <t>Vĩnh Long</t>
  </si>
  <si>
    <t xml:space="preserve">Sóc Trăng </t>
  </si>
  <si>
    <t>Trà Vinh</t>
  </si>
  <si>
    <t>Cao Bằng</t>
  </si>
  <si>
    <t>Long An</t>
  </si>
  <si>
    <t>Tiền Giang</t>
  </si>
  <si>
    <t>Bến Tre</t>
  </si>
  <si>
    <t>Hải Phòng</t>
  </si>
  <si>
    <t>Thành phố Hồ Chí Minh</t>
  </si>
  <si>
    <t xml:space="preserve">Bình Dương </t>
  </si>
  <si>
    <t xml:space="preserve">Tuyên Quang </t>
  </si>
  <si>
    <t>Hoà Bình</t>
  </si>
  <si>
    <t>Quảng Bình</t>
  </si>
  <si>
    <t>Quảng Trị</t>
  </si>
  <si>
    <t>Bình Phước</t>
  </si>
  <si>
    <t>Bắc Kạn</t>
  </si>
  <si>
    <t>Thái Nguyên</t>
  </si>
  <si>
    <t>Bắc Giang</t>
  </si>
  <si>
    <t xml:space="preserve">Thừa Thiên - Huế </t>
  </si>
  <si>
    <t>Lạng Sơn</t>
  </si>
  <si>
    <t>Kon Tum</t>
  </si>
  <si>
    <t>Quảng Ninh</t>
  </si>
  <si>
    <t>Đồng Nai</t>
  </si>
  <si>
    <t>Bà Rịa - Vũng Tàu</t>
  </si>
  <si>
    <t>Quảng Nam</t>
  </si>
  <si>
    <t>Lâm Đồng</t>
  </si>
  <si>
    <t>Đà Nẵng</t>
  </si>
  <si>
    <t>Quảng Ngãi</t>
  </si>
  <si>
    <t>Ninh Thuận</t>
  </si>
  <si>
    <t>Khánh Hoà</t>
  </si>
  <si>
    <t>Bình Định</t>
  </si>
  <si>
    <t>Đắc Lắc</t>
  </si>
  <si>
    <t>Phú Yên</t>
  </si>
  <si>
    <t>Gia Lai</t>
  </si>
  <si>
    <t>Bình Thuận</t>
  </si>
  <si>
    <t>UTM_GEO</t>
  </si>
  <si>
    <t>X</t>
  </si>
  <si>
    <t>Y</t>
  </si>
  <si>
    <t xml:space="preserve">Degrees </t>
  </si>
  <si>
    <t>Radians</t>
  </si>
  <si>
    <t>Latitude  of natural Original (ϕ0)</t>
  </si>
  <si>
    <t>Longitude of natural Original (λ0)</t>
  </si>
  <si>
    <t>a</t>
  </si>
  <si>
    <t>1/f</t>
  </si>
  <si>
    <r>
      <rPr>
        <rFont val="Calibri"/>
        <b/>
        <color rgb="FF000000"/>
        <sz val="11.0"/>
      </rPr>
      <t>e</t>
    </r>
    <r>
      <rPr>
        <rFont val="Calibri"/>
        <b/>
        <color rgb="FF000000"/>
        <sz val="11.0"/>
      </rPr>
      <t>²</t>
    </r>
  </si>
  <si>
    <t>e'²</t>
  </si>
  <si>
    <t>Calculation</t>
  </si>
  <si>
    <t>e1</t>
  </si>
  <si>
    <t>M0</t>
  </si>
  <si>
    <t>M1</t>
  </si>
  <si>
    <t>μ1</t>
  </si>
  <si>
    <t>ϕ1</t>
  </si>
  <si>
    <r>
      <rPr>
        <rFont val="Calibri"/>
        <color theme="1"/>
        <sz val="11.0"/>
      </rPr>
      <t>e</t>
    </r>
    <r>
      <rPr>
        <rFont val="Calibri"/>
        <color rgb="FF000000"/>
        <sz val="11.0"/>
      </rPr>
      <t>²/4</t>
    </r>
  </si>
  <si>
    <t>T1</t>
  </si>
  <si>
    <t>3e^4/64</t>
  </si>
  <si>
    <t>v1</t>
  </si>
  <si>
    <t>5e^6/256</t>
  </si>
  <si>
    <t>ρ1</t>
  </si>
  <si>
    <r>
      <rPr>
        <rFont val="Calibri"/>
        <color theme="1"/>
        <sz val="11.0"/>
      </rPr>
      <t>3e</t>
    </r>
    <r>
      <rPr>
        <rFont val="Calibri"/>
        <color rgb="FF000000"/>
        <sz val="11.0"/>
      </rPr>
      <t>²/8</t>
    </r>
  </si>
  <si>
    <t>C1</t>
  </si>
  <si>
    <t>3e^4/32</t>
  </si>
  <si>
    <t>D</t>
  </si>
  <si>
    <t>45e^6/1024</t>
  </si>
  <si>
    <r>
      <rPr>
        <rFont val="Calibri"/>
        <color theme="1"/>
        <sz val="11.0"/>
      </rPr>
      <t>15e</t>
    </r>
    <r>
      <rPr>
        <rFont val="Calibri"/>
        <color rgb="FF000000"/>
        <sz val="11.0"/>
      </rPr>
      <t>^4/256</t>
    </r>
  </si>
  <si>
    <t>Latitude</t>
  </si>
  <si>
    <t>35e^6/3072</t>
  </si>
  <si>
    <t>Longitude</t>
  </si>
  <si>
    <t>GEO_GEOCENTRIC</t>
  </si>
  <si>
    <t>Latitude (ϕ)</t>
  </si>
  <si>
    <t>Longitude (λ)</t>
  </si>
  <si>
    <r>
      <rPr>
        <rFont val="Calibri"/>
        <b/>
        <color rgb="FF000000"/>
        <sz val="11.0"/>
      </rPr>
      <t>e</t>
    </r>
    <r>
      <rPr>
        <rFont val="Calibri"/>
        <b/>
        <color rgb="FF000000"/>
        <sz val="11.0"/>
      </rPr>
      <t>²</t>
    </r>
  </si>
  <si>
    <t>Height (meters)</t>
  </si>
  <si>
    <t>ν</t>
  </si>
  <si>
    <t>Z</t>
  </si>
  <si>
    <t>TRANS 7 PARAMETERS</t>
  </si>
  <si>
    <t>Original Geocentric Coordinates</t>
  </si>
  <si>
    <t>X Geocentric</t>
  </si>
  <si>
    <t>Y Geocentric</t>
  </si>
  <si>
    <t>Z Geocentric</t>
  </si>
  <si>
    <t>Transformation Geocentric Coordinates</t>
  </si>
  <si>
    <t>GEOCENTRIC_GEO</t>
  </si>
  <si>
    <t>b</t>
  </si>
  <si>
    <r>
      <rPr>
        <rFont val="Calibri"/>
        <b/>
        <color rgb="FF000000"/>
        <sz val="11.0"/>
      </rPr>
      <t>e</t>
    </r>
    <r>
      <rPr>
        <rFont val="Calibri"/>
        <b/>
        <color rgb="FF000000"/>
        <sz val="11.0"/>
      </rPr>
      <t>²</t>
    </r>
  </si>
  <si>
    <t>p</t>
  </si>
  <si>
    <t>θ</t>
  </si>
  <si>
    <t>GEO_UTM</t>
  </si>
  <si>
    <t>Latitude  of natural Origin (ϕ0)</t>
  </si>
  <si>
    <t>Longitude of natural Origin (λ0)</t>
  </si>
  <si>
    <r>
      <rPr>
        <rFont val="Calibri"/>
        <b/>
        <color rgb="FF000000"/>
        <sz val="11.0"/>
      </rPr>
      <t>e</t>
    </r>
    <r>
      <rPr>
        <rFont val="Calibri"/>
        <b/>
        <color rgb="FF000000"/>
        <sz val="11.0"/>
      </rPr>
      <t>²</t>
    </r>
  </si>
  <si>
    <t>A</t>
  </si>
  <si>
    <t>T</t>
  </si>
  <si>
    <t>v</t>
  </si>
  <si>
    <t>C</t>
  </si>
  <si>
    <t>M</t>
  </si>
  <si>
    <r>
      <rPr>
        <rFont val="Calibri"/>
        <color theme="1"/>
        <sz val="11.0"/>
      </rPr>
      <t>e</t>
    </r>
    <r>
      <rPr>
        <rFont val="Calibri"/>
        <color rgb="FF000000"/>
        <sz val="11.0"/>
      </rPr>
      <t>²/4</t>
    </r>
  </si>
  <si>
    <t>Mo</t>
  </si>
  <si>
    <t>X:</t>
  </si>
  <si>
    <r>
      <rPr>
        <rFont val="Calibri"/>
        <color theme="1"/>
        <sz val="11.0"/>
      </rPr>
      <t>3e</t>
    </r>
    <r>
      <rPr>
        <rFont val="Calibri"/>
        <color rgb="FF000000"/>
        <sz val="11.0"/>
      </rPr>
      <t>²/8</t>
    </r>
  </si>
  <si>
    <t>Y:</t>
  </si>
  <si>
    <r>
      <rPr>
        <rFont val="Calibri"/>
        <color theme="1"/>
        <sz val="11.0"/>
      </rPr>
      <t>15e</t>
    </r>
    <r>
      <rPr>
        <rFont val="Calibri"/>
        <color rgb="FF000000"/>
        <sz val="11.0"/>
      </rPr>
      <t>^4/256</t>
    </r>
  </si>
  <si>
    <t>VN2000 HỘI NHẬP -&gt; WGS84 (OR VN2000 NỘI BỘ)</t>
  </si>
  <si>
    <t>WGS84 (OR VN2000 NỘI BỘ) -&gt; VN2000 HỘI NHẬP</t>
  </si>
  <si>
    <t>Datum</t>
  </si>
  <si>
    <t>VN2000- 3 degrees</t>
  </si>
  <si>
    <t>VN2000</t>
  </si>
  <si>
    <t>UTM (WGS84)</t>
  </si>
  <si>
    <t>X_Trans</t>
  </si>
  <si>
    <t>Y_Trans</t>
  </si>
  <si>
    <r>
      <rPr>
        <rFont val="Calibri"/>
        <b/>
        <i val="0"/>
        <color theme="1"/>
        <sz val="11.0"/>
      </rPr>
      <t>Note:</t>
    </r>
    <r>
      <rPr>
        <rFont val="Calibri"/>
        <i/>
        <color theme="1"/>
        <sz val="11.0"/>
      </rPr>
      <t xml:space="preserve"> X, Y là các cặp điểm cần chuyển, X_Trans Y_Trans là kết quả được chuyển</t>
    </r>
  </si>
  <si>
    <t>CÔNG TY CP PHÁT TRIỂN CÔNG NGHỆ TRẮC ĐỊA VIỆT NAM</t>
  </si>
  <si>
    <r>
      <rPr>
        <rFont val="Arial"/>
        <color rgb="FF282828"/>
        <sz val="10.0"/>
        <u/>
      </rPr>
      <t>Địa chỉ</t>
    </r>
    <r>
      <rPr>
        <rFont val="Arial"/>
        <color rgb="FF282828"/>
        <sz val="10.0"/>
        <u/>
      </rPr>
      <t>:</t>
    </r>
    <r>
      <rPr>
        <rFont val="Arial"/>
        <color rgb="FF282828"/>
        <sz val="10.0"/>
        <u/>
      </rPr>
      <t> Số 167, phố Chùa Láng - Q.Đống Đa - TP.Hà Nội</t>
    </r>
  </si>
  <si>
    <r>
      <rPr>
        <rFont val="Arial"/>
        <color rgb="FF282828"/>
        <sz val="10.0"/>
        <u/>
      </rPr>
      <t>VPGD</t>
    </r>
    <r>
      <rPr>
        <rFont val="Arial"/>
        <color rgb="FF282828"/>
        <sz val="10.0"/>
        <u/>
      </rPr>
      <t>:</t>
    </r>
    <r>
      <rPr>
        <rFont val="Arial"/>
        <color rgb="FF282828"/>
        <sz val="10.0"/>
        <u/>
      </rPr>
      <t> Số 23, ngõ 10 - đường Trần Duy Hưng  - Q.Cầu Giấy – TP.Hà Nội</t>
    </r>
  </si>
  <si>
    <r>
      <rPr>
        <rFont val="Arial"/>
        <color rgb="FF282828"/>
        <sz val="10.0"/>
      </rPr>
      <t>Điện thoại:</t>
    </r>
    <r>
      <rPr>
        <rFont val="Arial"/>
        <color rgb="FF282828"/>
        <sz val="10.0"/>
      </rPr>
      <t> </t>
    </r>
    <r>
      <rPr>
        <rFont val="Arial"/>
        <color rgb="FFED1C24"/>
        <sz val="10.0"/>
      </rPr>
      <t>0243 7756647 - 0913.37.86.48 </t>
    </r>
  </si>
  <si>
    <r>
      <rPr>
        <rFont val="Arial"/>
        <color rgb="FF282828"/>
        <sz val="10.0"/>
      </rPr>
      <t>Đại diện:</t>
    </r>
    <r>
      <rPr>
        <rFont val="Arial"/>
        <color rgb="FF282828"/>
        <sz val="10.0"/>
      </rPr>
      <t> Ông Nguyễn Văn Dũng</t>
    </r>
  </si>
  <si>
    <t>MST: 0102305681 - STK: 12510000160392</t>
  </si>
  <si>
    <t>Tại Ngân Hàng TMCP Đầu Tư Và Phát Triển Việt Nam – Chi nhánh Đông Đô</t>
  </si>
  <si>
    <t>Website: https://rtkvn.vn/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</si>
</sst>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00000"/>
    <numFmt numFmtId="165" formatCode="0.0000"/>
  </numFmts>
  <fonts count="23">
    <font>
      <sz val="11.0"/>
      <color theme="1"/>
      <name val="Arial"/>
    </font>
    <font>
      <sz val="11.0"/>
      <color theme="1"/>
      <name val="Calibri"/>
    </font>
    <font>
      <b/>
      <sz val="13.0"/>
      <color theme="1"/>
      <name val="Calibri"/>
    </font>
    <font>
      <color theme="1"/>
      <name val="Calibri"/>
    </font>
    <font>
      <b/>
      <i/>
      <sz val="12.0"/>
      <color theme="1"/>
      <name val="Arial"/>
    </font>
    <font>
      <b/>
      <sz val="13.0"/>
      <color rgb="FF000000"/>
      <name val="Calibri"/>
    </font>
    <font>
      <sz val="13.0"/>
      <color theme="1"/>
      <name val="Calibri"/>
    </font>
    <font>
      <sz val="13.0"/>
      <color rgb="FF000000"/>
      <name val="Calibri"/>
    </font>
    <font>
      <b/>
      <sz val="11.0"/>
      <color rgb="FFFFFFFF"/>
      <name val="Calibri"/>
    </font>
    <font>
      <b/>
      <sz val="10.0"/>
      <color theme="1"/>
      <name val="Arial"/>
    </font>
    <font>
      <sz val="8.0"/>
      <color rgb="FFFF0000"/>
      <name val="Calibri"/>
    </font>
    <font/>
    <font>
      <sz val="11.0"/>
      <color rgb="FF000000"/>
      <name val="Calibri"/>
    </font>
    <font>
      <sz val="10.0"/>
      <color theme="1"/>
      <name val="Arial"/>
    </font>
    <font>
      <i/>
      <sz val="11.0"/>
      <color theme="1"/>
      <name val="Calibri"/>
    </font>
    <font>
      <b/>
      <sz val="18.0"/>
      <color rgb="FF000000"/>
      <name val="Calibri"/>
    </font>
    <font>
      <b/>
      <sz val="11.0"/>
      <color rgb="FF000000"/>
      <name val="Calibri"/>
    </font>
    <font>
      <b/>
      <sz val="11.0"/>
      <color rgb="FFFF0000"/>
      <name val="Calibri"/>
    </font>
    <font>
      <u/>
      <sz val="11.0"/>
      <color rgb="FF0000FF"/>
      <name val="Calibri"/>
    </font>
    <font>
      <b/>
      <sz val="11.0"/>
      <color theme="1"/>
      <name val="Calibri"/>
    </font>
    <font>
      <sz val="11.0"/>
      <color rgb="FF424242"/>
      <name val="Arial"/>
    </font>
    <font>
      <u/>
      <sz val="10.0"/>
      <color rgb="FF282828"/>
      <name val="Arial"/>
    </font>
    <font>
      <sz val="10.0"/>
      <color rgb="FF282828"/>
      <name val="Arial"/>
    </font>
  </fonts>
  <fills count="12">
    <fill>
      <patternFill patternType="none"/>
    </fill>
    <fill>
      <patternFill patternType="lightGray"/>
    </fill>
    <fill>
      <patternFill patternType="solid">
        <fgColor rgb="FFBFBFBF"/>
        <bgColor rgb="FFBFBFBF"/>
      </patternFill>
    </fill>
    <fill>
      <patternFill patternType="solid">
        <fgColor rgb="FF0066CC"/>
        <bgColor rgb="FF0066CC"/>
      </patternFill>
    </fill>
    <fill>
      <patternFill patternType="solid">
        <fgColor rgb="FFFFCC99"/>
        <bgColor rgb="FFFFCC99"/>
      </patternFill>
    </fill>
    <fill>
      <patternFill patternType="solid">
        <fgColor rgb="FFFF99FF"/>
        <bgColor rgb="FFFF99FF"/>
      </patternFill>
    </fill>
    <fill>
      <patternFill patternType="solid">
        <fgColor rgb="FF92D050"/>
        <bgColor rgb="FF92D050"/>
      </patternFill>
    </fill>
    <fill>
      <patternFill patternType="solid">
        <fgColor rgb="FFCCFFFF"/>
        <bgColor rgb="FFCCFFFF"/>
      </patternFill>
    </fill>
    <fill>
      <patternFill patternType="solid">
        <fgColor rgb="FFFFFF99"/>
        <bgColor rgb="FFFFFF99"/>
      </patternFill>
    </fill>
    <fill>
      <patternFill patternType="solid">
        <fgColor rgb="FFFFFF00"/>
        <bgColor rgb="FFFFFF00"/>
      </patternFill>
    </fill>
    <fill>
      <patternFill patternType="solid">
        <fgColor rgb="FFD8D8D8"/>
        <bgColor rgb="FFD8D8D8"/>
      </patternFill>
    </fill>
    <fill>
      <patternFill patternType="solid">
        <fgColor rgb="FF6BD8FF"/>
        <bgColor rgb="FF6BD8FF"/>
      </patternFill>
    </fill>
  </fills>
  <borders count="52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</border>
    <border>
      <left/>
      <right/>
      <bottom/>
    </border>
    <border>
      <right style="medium">
        <color rgb="FF000000"/>
      </right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top style="medium">
        <color rgb="FF000000"/>
      </top>
      <bottom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left style="dotted">
        <color rgb="FF000000"/>
      </left>
      <top style="dotted">
        <color rgb="FF000000"/>
      </top>
    </border>
    <border>
      <top style="dotted">
        <color rgb="FF000000"/>
      </top>
    </border>
    <border>
      <right style="dotted">
        <color rgb="FF000000"/>
      </right>
      <top style="dotted">
        <color rgb="FF000000"/>
      </top>
    </border>
    <border>
      <left style="dotted">
        <color rgb="FF000000"/>
      </left>
    </border>
    <border>
      <right style="dotted">
        <color rgb="FF000000"/>
      </right>
    </border>
    <border>
      <left style="dotted">
        <color rgb="FF000000"/>
      </left>
      <bottom style="dotted">
        <color rgb="FF000000"/>
      </bottom>
    </border>
    <border>
      <bottom style="dotted">
        <color rgb="FF000000"/>
      </bottom>
    </border>
    <border>
      <right style="dotted">
        <color rgb="FF000000"/>
      </right>
      <bottom style="dotted">
        <color rgb="FF000000"/>
      </bottom>
    </border>
    <border>
      <left style="medium">
        <color rgb="FF000000"/>
      </left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/>
      <top/>
      <bottom style="thin">
        <color rgb="FF000000"/>
      </bottom>
    </border>
    <border>
      <top/>
      <bottom style="thin">
        <color rgb="FF000000"/>
      </bottom>
    </border>
    <border>
      <right/>
      <top/>
      <bottom style="thin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13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left"/>
    </xf>
    <xf borderId="0" fillId="0" fontId="2" numFmtId="0" xfId="0" applyAlignment="1" applyFont="1">
      <alignment horizontal="right" vertical="top"/>
    </xf>
    <xf borderId="0" fillId="0" fontId="1" numFmtId="0" xfId="0" applyAlignment="1" applyFont="1">
      <alignment horizontal="center" vertical="top"/>
    </xf>
    <xf borderId="0" fillId="0" fontId="3" numFmtId="0" xfId="0" applyFont="1"/>
    <xf borderId="0" fillId="0" fontId="1" numFmtId="0" xfId="0" applyFont="1"/>
    <xf borderId="0" fillId="0" fontId="4" numFmtId="0" xfId="0" applyAlignment="1" applyFont="1">
      <alignment horizontal="right"/>
    </xf>
    <xf borderId="0" fillId="0" fontId="4" numFmtId="0" xfId="0" applyFont="1"/>
    <xf borderId="1" fillId="2" fontId="2" numFmtId="0" xfId="0" applyBorder="1" applyFill="1" applyFont="1"/>
    <xf borderId="1" fillId="2" fontId="5" numFmtId="0" xfId="0" applyBorder="1" applyFont="1"/>
    <xf borderId="1" fillId="2" fontId="2" numFmtId="0" xfId="0" applyAlignment="1" applyBorder="1" applyFont="1">
      <alignment horizontal="left"/>
    </xf>
    <xf borderId="2" fillId="0" fontId="6" numFmtId="0" xfId="0" applyBorder="1" applyFont="1"/>
    <xf borderId="2" fillId="0" fontId="7" numFmtId="0" xfId="0" applyBorder="1" applyFont="1"/>
    <xf borderId="2" fillId="0" fontId="6" numFmtId="0" xfId="0" applyAlignment="1" applyBorder="1" applyFont="1">
      <alignment horizontal="left"/>
    </xf>
    <xf borderId="3" fillId="3" fontId="8" numFmtId="0" xfId="0" applyAlignment="1" applyBorder="1" applyFill="1" applyFont="1">
      <alignment horizontal="center" vertical="center"/>
    </xf>
    <xf borderId="0" fillId="0" fontId="9" numFmtId="0" xfId="0" applyAlignment="1" applyFont="1">
      <alignment vertical="center"/>
    </xf>
    <xf borderId="0" fillId="0" fontId="1" numFmtId="0" xfId="0" applyAlignment="1" applyFont="1">
      <alignment horizontal="center"/>
    </xf>
    <xf borderId="0" fillId="0" fontId="1" numFmtId="4" xfId="0" applyAlignment="1" applyFont="1" applyNumberFormat="1">
      <alignment vertical="center"/>
    </xf>
    <xf borderId="0" fillId="0" fontId="10" numFmtId="0" xfId="0" applyAlignment="1" applyFont="1">
      <alignment shrinkToFit="0" vertical="center" wrapText="1"/>
    </xf>
    <xf borderId="4" fillId="0" fontId="11" numFmtId="0" xfId="0" applyBorder="1" applyFont="1"/>
    <xf borderId="0" fillId="0" fontId="9" numFmtId="0" xfId="0" applyFont="1"/>
    <xf borderId="5" fillId="0" fontId="9" numFmtId="0" xfId="0" applyAlignment="1" applyBorder="1" applyFont="1">
      <alignment horizontal="center" vertical="center"/>
    </xf>
    <xf borderId="6" fillId="4" fontId="9" numFmtId="0" xfId="0" applyAlignment="1" applyBorder="1" applyFill="1" applyFont="1">
      <alignment horizontal="right"/>
    </xf>
    <xf borderId="7" fillId="5" fontId="1" numFmtId="0" xfId="0" applyAlignment="1" applyBorder="1" applyFill="1" applyFont="1">
      <alignment horizontal="center"/>
    </xf>
    <xf borderId="8" fillId="4" fontId="9" numFmtId="0" xfId="0" applyAlignment="1" applyBorder="1" applyFont="1">
      <alignment horizontal="right"/>
    </xf>
    <xf borderId="7" fillId="6" fontId="1" numFmtId="0" xfId="0" applyAlignment="1" applyBorder="1" applyFill="1" applyFont="1">
      <alignment horizontal="center"/>
    </xf>
    <xf borderId="5" fillId="0" fontId="11" numFmtId="0" xfId="0" applyBorder="1" applyFont="1"/>
    <xf borderId="9" fillId="4" fontId="9" numFmtId="0" xfId="0" applyAlignment="1" applyBorder="1" applyFont="1">
      <alignment horizontal="right"/>
    </xf>
    <xf borderId="10" fillId="0" fontId="1" numFmtId="0" xfId="0" applyAlignment="1" applyBorder="1" applyFont="1">
      <alignment horizontal="center"/>
    </xf>
    <xf borderId="11" fillId="4" fontId="9" numFmtId="0" xfId="0" applyAlignment="1" applyBorder="1" applyFont="1">
      <alignment horizontal="right"/>
    </xf>
    <xf borderId="12" fillId="4" fontId="9" numFmtId="0" xfId="0" applyAlignment="1" applyBorder="1" applyFont="1">
      <alignment horizontal="right"/>
    </xf>
    <xf borderId="13" fillId="5" fontId="1" numFmtId="0" xfId="0" applyAlignment="1" applyBorder="1" applyFont="1">
      <alignment horizontal="center"/>
    </xf>
    <xf borderId="14" fillId="4" fontId="9" numFmtId="0" xfId="0" applyAlignment="1" applyBorder="1" applyFont="1">
      <alignment horizontal="right"/>
    </xf>
    <xf borderId="13" fillId="6" fontId="1" numFmtId="0" xfId="0" applyAlignment="1" applyBorder="1" applyFont="1">
      <alignment horizontal="center"/>
    </xf>
    <xf borderId="0" fillId="0" fontId="9" numFmtId="0" xfId="0" applyAlignment="1" applyFont="1">
      <alignment horizontal="center" vertical="center"/>
    </xf>
    <xf borderId="15" fillId="7" fontId="9" numFmtId="49" xfId="0" applyAlignment="1" applyBorder="1" applyFill="1" applyFont="1" applyNumberFormat="1">
      <alignment horizontal="center" vertical="center"/>
    </xf>
    <xf borderId="16" fillId="0" fontId="11" numFmtId="0" xfId="0" applyBorder="1" applyFont="1"/>
    <xf borderId="17" fillId="0" fontId="11" numFmtId="0" xfId="0" applyBorder="1" applyFont="1"/>
    <xf borderId="9" fillId="8" fontId="9" numFmtId="0" xfId="0" applyAlignment="1" applyBorder="1" applyFill="1" applyFont="1">
      <alignment horizontal="right"/>
    </xf>
    <xf borderId="10" fillId="0" fontId="1" numFmtId="4" xfId="0" applyAlignment="1" applyBorder="1" applyFont="1" applyNumberFormat="1">
      <alignment vertical="center"/>
    </xf>
    <xf borderId="11" fillId="8" fontId="9" numFmtId="0" xfId="0" applyAlignment="1" applyBorder="1" applyFont="1">
      <alignment horizontal="right"/>
    </xf>
    <xf borderId="10" fillId="0" fontId="1" numFmtId="4" xfId="0" applyAlignment="1" applyBorder="1" applyFont="1" applyNumberFormat="1">
      <alignment horizontal="right" vertical="center"/>
    </xf>
    <xf borderId="12" fillId="8" fontId="9" numFmtId="0" xfId="0" applyAlignment="1" applyBorder="1" applyFont="1">
      <alignment horizontal="right"/>
    </xf>
    <xf borderId="13" fillId="0" fontId="1" numFmtId="164" xfId="0" applyAlignment="1" applyBorder="1" applyFont="1" applyNumberFormat="1">
      <alignment horizontal="right"/>
    </xf>
    <xf borderId="14" fillId="8" fontId="9" numFmtId="0" xfId="0" applyAlignment="1" applyBorder="1" applyFont="1">
      <alignment horizontal="right"/>
    </xf>
    <xf borderId="0" fillId="0" fontId="12" numFmtId="4" xfId="0" applyAlignment="1" applyFont="1" applyNumberFormat="1">
      <alignment vertical="center"/>
    </xf>
    <xf borderId="15" fillId="2" fontId="9" numFmtId="0" xfId="0" applyAlignment="1" applyBorder="1" applyFont="1">
      <alignment horizontal="center"/>
    </xf>
    <xf borderId="6" fillId="0" fontId="9" numFmtId="0" xfId="0" applyAlignment="1" applyBorder="1" applyFont="1">
      <alignment horizontal="center"/>
    </xf>
    <xf borderId="18" fillId="0" fontId="9" numFmtId="0" xfId="0" applyAlignment="1" applyBorder="1" applyFont="1">
      <alignment horizontal="center"/>
    </xf>
    <xf borderId="19" fillId="0" fontId="9" numFmtId="0" xfId="0" applyAlignment="1" applyBorder="1" applyFont="1">
      <alignment horizontal="center"/>
    </xf>
    <xf borderId="7" fillId="0" fontId="9" numFmtId="0" xfId="0" applyAlignment="1" applyBorder="1" applyFont="1">
      <alignment horizontal="center"/>
    </xf>
    <xf borderId="12" fillId="0" fontId="13" numFmtId="165" xfId="0" applyAlignment="1" applyBorder="1" applyFont="1" applyNumberFormat="1">
      <alignment horizontal="center" vertical="center"/>
    </xf>
    <xf borderId="20" fillId="0" fontId="13" numFmtId="165" xfId="0" applyAlignment="1" applyBorder="1" applyFont="1" applyNumberFormat="1">
      <alignment horizontal="center" vertical="center"/>
    </xf>
    <xf borderId="21" fillId="0" fontId="13" numFmtId="165" xfId="0" applyAlignment="1" applyBorder="1" applyFont="1" applyNumberFormat="1">
      <alignment horizontal="center" vertical="center"/>
    </xf>
    <xf borderId="13" fillId="0" fontId="13" numFmtId="165" xfId="0" applyAlignment="1" applyBorder="1" applyFont="1" applyNumberFormat="1">
      <alignment horizontal="center" vertical="center"/>
    </xf>
    <xf borderId="22" fillId="0" fontId="2" numFmtId="0" xfId="0" applyAlignment="1" applyBorder="1" applyFont="1">
      <alignment horizontal="left" vertical="top"/>
    </xf>
    <xf borderId="23" fillId="0" fontId="11" numFmtId="0" xfId="0" applyBorder="1" applyFont="1"/>
    <xf borderId="24" fillId="0" fontId="11" numFmtId="0" xfId="0" applyBorder="1" applyFont="1"/>
    <xf borderId="25" fillId="0" fontId="14" numFmtId="0" xfId="0" applyAlignment="1" applyBorder="1" applyFont="1">
      <alignment horizontal="left"/>
    </xf>
    <xf borderId="25" fillId="0" fontId="1" numFmtId="0" xfId="0" applyBorder="1" applyFont="1"/>
    <xf borderId="25" fillId="0" fontId="14" numFmtId="0" xfId="0" applyBorder="1" applyFont="1"/>
    <xf borderId="26" fillId="0" fontId="1" numFmtId="0" xfId="0" applyBorder="1" applyFont="1"/>
    <xf borderId="0" fillId="0" fontId="14" numFmtId="0" xfId="0" applyAlignment="1" applyFont="1">
      <alignment horizontal="left" vertical="top"/>
    </xf>
    <xf borderId="26" fillId="0" fontId="11" numFmtId="0" xfId="0" applyBorder="1" applyFont="1"/>
    <xf borderId="27" fillId="0" fontId="14" numFmtId="0" xfId="0" applyAlignment="1" applyBorder="1" applyFont="1">
      <alignment horizontal="left" vertical="top"/>
    </xf>
    <xf borderId="28" fillId="0" fontId="11" numFmtId="0" xfId="0" applyBorder="1" applyFont="1"/>
    <xf borderId="29" fillId="0" fontId="11" numFmtId="0" xfId="0" applyBorder="1" applyFont="1"/>
    <xf borderId="0" fillId="0" fontId="11" numFmtId="3" xfId="0" applyAlignment="1" applyFont="1" applyNumberFormat="1">
      <alignment readingOrder="0"/>
    </xf>
    <xf borderId="0" fillId="0" fontId="15" numFmtId="0" xfId="0" applyFont="1"/>
    <xf borderId="0" fillId="0" fontId="16" numFmtId="0" xfId="0" applyAlignment="1" applyFont="1">
      <alignment horizontal="right"/>
    </xf>
    <xf borderId="0" fillId="0" fontId="1" numFmtId="4" xfId="0" applyFont="1" applyNumberFormat="1"/>
    <xf borderId="0" fillId="0" fontId="16" numFmtId="0" xfId="0" applyAlignment="1" applyFont="1">
      <alignment horizontal="center"/>
    </xf>
    <xf borderId="0" fillId="0" fontId="1" numFmtId="49" xfId="0" applyFont="1" applyNumberFormat="1"/>
    <xf borderId="0" fillId="0" fontId="1" numFmtId="164" xfId="0" applyFont="1" applyNumberFormat="1"/>
    <xf borderId="0" fillId="0" fontId="17" numFmtId="0" xfId="0" applyAlignment="1" applyFont="1">
      <alignment horizontal="center"/>
    </xf>
    <xf borderId="30" fillId="0" fontId="1" numFmtId="0" xfId="0" applyBorder="1" applyFont="1"/>
    <xf borderId="31" fillId="0" fontId="1" numFmtId="0" xfId="0" applyBorder="1" applyFont="1"/>
    <xf borderId="32" fillId="0" fontId="1" numFmtId="0" xfId="0" applyBorder="1" applyFont="1"/>
    <xf borderId="5" fillId="0" fontId="1" numFmtId="0" xfId="0" applyBorder="1" applyFont="1"/>
    <xf borderId="33" fillId="0" fontId="1" numFmtId="0" xfId="0" applyBorder="1" applyFont="1"/>
    <xf borderId="34" fillId="0" fontId="1" numFmtId="0" xfId="0" applyBorder="1" applyFont="1"/>
    <xf borderId="0" fillId="0" fontId="16" numFmtId="0" xfId="0" applyAlignment="1" applyFont="1">
      <alignment horizontal="center" vertical="center"/>
    </xf>
    <xf borderId="1" fillId="9" fontId="16" numFmtId="0" xfId="0" applyAlignment="1" applyBorder="1" applyFill="1" applyFont="1">
      <alignment horizontal="right"/>
    </xf>
    <xf borderId="1" fillId="9" fontId="1" numFmtId="0" xfId="0" applyBorder="1" applyFont="1"/>
    <xf borderId="0" fillId="0" fontId="1" numFmtId="0" xfId="0" applyAlignment="1" applyFont="1">
      <alignment shrinkToFit="0" wrapText="1"/>
    </xf>
    <xf borderId="0" fillId="0" fontId="13" numFmtId="0" xfId="0" applyFont="1"/>
    <xf borderId="35" fillId="0" fontId="9" numFmtId="0" xfId="0" applyAlignment="1" applyBorder="1" applyFont="1">
      <alignment horizontal="center" shrinkToFit="0" vertical="center" wrapText="1"/>
    </xf>
    <xf borderId="36" fillId="0" fontId="11" numFmtId="0" xfId="0" applyBorder="1" applyFont="1"/>
    <xf borderId="37" fillId="0" fontId="11" numFmtId="0" xfId="0" applyBorder="1" applyFont="1"/>
    <xf borderId="38" fillId="0" fontId="11" numFmtId="0" xfId="0" applyBorder="1" applyFont="1"/>
    <xf borderId="2" fillId="0" fontId="9" numFmtId="0" xfId="0" applyBorder="1" applyFont="1"/>
    <xf borderId="2" fillId="0" fontId="13" numFmtId="2" xfId="0" applyBorder="1" applyFont="1" applyNumberFormat="1"/>
    <xf borderId="0" fillId="0" fontId="13" numFmtId="2" xfId="0" applyFont="1" applyNumberFormat="1"/>
    <xf borderId="39" fillId="2" fontId="9" numFmtId="0" xfId="0" applyAlignment="1" applyBorder="1" applyFont="1">
      <alignment horizontal="center"/>
    </xf>
    <xf borderId="40" fillId="0" fontId="11" numFmtId="0" xfId="0" applyBorder="1" applyFont="1"/>
    <xf borderId="41" fillId="0" fontId="11" numFmtId="0" xfId="0" applyBorder="1" applyFont="1"/>
    <xf borderId="2" fillId="0" fontId="9" numFmtId="0" xfId="0" applyAlignment="1" applyBorder="1" applyFont="1">
      <alignment horizontal="center"/>
    </xf>
    <xf borderId="2" fillId="0" fontId="13" numFmtId="165" xfId="0" applyAlignment="1" applyBorder="1" applyFont="1" applyNumberFormat="1">
      <alignment horizontal="center" vertical="center"/>
    </xf>
    <xf borderId="2" fillId="9" fontId="9" numFmtId="0" xfId="0" applyBorder="1" applyFont="1"/>
    <xf borderId="2" fillId="9" fontId="13" numFmtId="165" xfId="0" applyBorder="1" applyFont="1" applyNumberFormat="1"/>
    <xf borderId="0" fillId="0" fontId="1" numFmtId="0" xfId="0" applyAlignment="1" applyFont="1">
      <alignment horizontal="center" shrinkToFit="0" vertical="center" wrapText="1"/>
    </xf>
    <xf borderId="0" fillId="0" fontId="16" numFmtId="0" xfId="0" applyAlignment="1" applyFont="1">
      <alignment horizontal="center" shrinkToFit="0" vertical="center" wrapText="1"/>
    </xf>
    <xf borderId="0" fillId="0" fontId="1" numFmtId="165" xfId="0" applyAlignment="1" applyFont="1" applyNumberFormat="1">
      <alignment horizontal="center"/>
    </xf>
    <xf borderId="0" fillId="0" fontId="1" numFmtId="0" xfId="0" applyAlignment="1" applyFont="1">
      <alignment horizontal="right"/>
    </xf>
    <xf borderId="0" fillId="0" fontId="18" numFmtId="0" xfId="0" applyFont="1"/>
    <xf borderId="42" fillId="2" fontId="9" numFmtId="0" xfId="0" applyAlignment="1" applyBorder="1" applyFont="1">
      <alignment horizontal="center"/>
    </xf>
    <xf borderId="8" fillId="0" fontId="11" numFmtId="0" xfId="0" applyBorder="1" applyFont="1"/>
    <xf borderId="43" fillId="0" fontId="11" numFmtId="0" xfId="0" applyBorder="1" applyFont="1"/>
    <xf borderId="44" fillId="0" fontId="9" numFmtId="0" xfId="0" applyAlignment="1" applyBorder="1" applyFont="1">
      <alignment horizontal="center"/>
    </xf>
    <xf borderId="45" fillId="0" fontId="9" numFmtId="0" xfId="0" applyAlignment="1" applyBorder="1" applyFont="1">
      <alignment horizontal="center"/>
    </xf>
    <xf borderId="46" fillId="0" fontId="9" numFmtId="0" xfId="0" applyAlignment="1" applyBorder="1" applyFont="1">
      <alignment horizontal="center"/>
    </xf>
    <xf borderId="47" fillId="0" fontId="13" numFmtId="165" xfId="0" applyAlignment="1" applyBorder="1" applyFont="1" applyNumberFormat="1">
      <alignment horizontal="center" vertical="center"/>
    </xf>
    <xf borderId="48" fillId="0" fontId="13" numFmtId="165" xfId="0" applyAlignment="1" applyBorder="1" applyFont="1" applyNumberFormat="1">
      <alignment horizontal="center" vertical="center"/>
    </xf>
    <xf borderId="49" fillId="0" fontId="13" numFmtId="165" xfId="0" applyAlignment="1" applyBorder="1" applyFont="1" applyNumberFormat="1">
      <alignment horizontal="center" vertical="center"/>
    </xf>
    <xf borderId="47" fillId="0" fontId="1" numFmtId="0" xfId="0" applyBorder="1" applyFont="1"/>
    <xf borderId="48" fillId="0" fontId="1" numFmtId="0" xfId="0" applyBorder="1" applyFont="1"/>
    <xf borderId="50" fillId="0" fontId="1" numFmtId="0" xfId="0" applyBorder="1" applyFont="1"/>
    <xf borderId="51" fillId="0" fontId="1" numFmtId="0" xfId="0" applyBorder="1" applyFont="1"/>
    <xf borderId="6" fillId="0" fontId="19" numFmtId="0" xfId="0" applyBorder="1" applyFont="1"/>
    <xf borderId="7" fillId="0" fontId="19" numFmtId="0" xfId="0" applyBorder="1" applyFont="1"/>
    <xf borderId="0" fillId="0" fontId="4" numFmtId="0" xfId="0" applyAlignment="1" applyFont="1">
      <alignment horizontal="left" vertical="top"/>
    </xf>
    <xf borderId="9" fillId="0" fontId="1" numFmtId="0" xfId="0" applyBorder="1" applyFont="1"/>
    <xf borderId="10" fillId="0" fontId="1" numFmtId="0" xfId="0" applyBorder="1" applyFont="1"/>
    <xf borderId="12" fillId="0" fontId="1" numFmtId="0" xfId="0" applyBorder="1" applyFont="1"/>
    <xf borderId="13" fillId="0" fontId="1" numFmtId="0" xfId="0" applyBorder="1" applyFont="1"/>
    <xf borderId="1" fillId="10" fontId="19" numFmtId="0" xfId="0" applyAlignment="1" applyBorder="1" applyFill="1" applyFont="1">
      <alignment horizontal="left" vertical="center"/>
    </xf>
    <xf borderId="0" fillId="0" fontId="14" numFmtId="0" xfId="0" applyFont="1"/>
    <xf borderId="0" fillId="0" fontId="20" numFmtId="0" xfId="0" applyAlignment="1" applyFont="1">
      <alignment horizontal="center" shrinkToFit="0" vertical="center" wrapText="1"/>
    </xf>
    <xf borderId="0" fillId="0" fontId="21" numFmtId="0" xfId="0" applyAlignment="1" applyFont="1">
      <alignment horizontal="left" shrinkToFit="0" vertical="center" wrapText="1"/>
    </xf>
    <xf borderId="0" fillId="0" fontId="22" numFmtId="0" xfId="0" applyAlignment="1" applyFont="1">
      <alignment horizontal="left" shrinkToFit="0" vertical="center" wrapText="1"/>
    </xf>
    <xf borderId="1" fillId="11" fontId="22" numFmtId="0" xfId="0" applyAlignment="1" applyBorder="1" applyFill="1" applyFont="1">
      <alignment horizontal="left"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9.xml"/><Relationship Id="rId8" Type="http://schemas.openxmlformats.org/officeDocument/2006/relationships/worksheet" Target="worksheets/sheet4.xml"/><Relationship Id="rId3" Type="http://schemas.openxmlformats.org/officeDocument/2006/relationships/sharedStrings" Target="sharedStrings.xml"/><Relationship Id="rId12" Type="http://schemas.openxmlformats.org/officeDocument/2006/relationships/worksheet" Target="worksheets/sheet8.xml"/><Relationship Id="rId7" Type="http://schemas.openxmlformats.org/officeDocument/2006/relationships/worksheet" Target="worksheets/sheet3.xml"/><Relationship Id="rId2" Type="http://schemas.openxmlformats.org/officeDocument/2006/relationships/styles" Target="styles.xml"/><Relationship Id="rId16" Type="http://schemas.openxmlformats.org/officeDocument/2006/relationships/customXml" Target="../customXml/item2.xml"/><Relationship Id="rId11" Type="http://schemas.openxmlformats.org/officeDocument/2006/relationships/worksheet" Target="worksheets/sheet7.xml"/><Relationship Id="rId1" Type="http://schemas.openxmlformats.org/officeDocument/2006/relationships/theme" Target="theme/theme1.xml"/><Relationship Id="rId6" Type="http://schemas.openxmlformats.org/officeDocument/2006/relationships/worksheet" Target="worksheets/sheet2.xml"/><Relationship Id="rId5" Type="http://schemas.openxmlformats.org/officeDocument/2006/relationships/worksheet" Target="worksheets/sheet1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6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4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342900</xdr:colOff>
      <xdr:row>6</xdr:row>
      <xdr:rowOff>0</xdr:rowOff>
    </xdr:from>
    <xdr:ext cx="1114425" cy="352425"/>
    <xdr:sp>
      <xdr:nvSpPr>
        <xdr:cNvPr id="3" name="Shape 3"/>
        <xdr:cNvSpPr/>
      </xdr:nvSpPr>
      <xdr:spPr>
        <a:xfrm>
          <a:off x="4788788" y="3603788"/>
          <a:ext cx="1114425" cy="352425"/>
        </a:xfrm>
        <a:prstGeom prst="rightArrow">
          <a:avLst>
            <a:gd fmla="val 50000" name="adj1"/>
            <a:gd fmla="val 50000" name="adj2"/>
          </a:avLst>
        </a:prstGeom>
        <a:solidFill>
          <a:schemeClr val="lt1"/>
        </a:solidFill>
        <a:ln cap="flat" cmpd="sng" w="9525">
          <a:solidFill>
            <a:srgbClr val="595959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63"/>
    <col customWidth="1" min="2" max="2" width="10.25"/>
    <col customWidth="1" min="3" max="3" width="12.13"/>
    <col customWidth="1" min="4" max="4" width="12.88"/>
    <col customWidth="1" min="5" max="5" width="10.0"/>
    <col customWidth="1" min="6" max="6" width="11.0"/>
    <col customWidth="1" min="7" max="8" width="12.38"/>
    <col customWidth="1" min="9" max="9" width="10.5"/>
    <col customWidth="1" min="10" max="10" width="9.5"/>
    <col customWidth="1" min="11" max="11" width="10.0"/>
    <col customWidth="1" min="12" max="12" width="3.5"/>
    <col customWidth="1" min="13" max="13" width="24.75"/>
    <col customWidth="1" min="14" max="14" width="13.13"/>
    <col customWidth="1" min="15" max="15" width="4.13"/>
    <col customWidth="1" min="16" max="16" width="24.75"/>
    <col customWidth="1" min="17" max="17" width="15.13"/>
    <col customWidth="1" min="18" max="27" width="10.0"/>
  </cols>
  <sheetData>
    <row r="1">
      <c r="Q1" s="1"/>
    </row>
    <row r="2" ht="17.25" customHeight="1">
      <c r="C2" s="2" t="s">
        <v>0</v>
      </c>
      <c r="Q2" s="1"/>
    </row>
    <row r="3" ht="5.25" customHeight="1">
      <c r="C3" s="3"/>
      <c r="D3" s="3"/>
      <c r="E3" s="4">
        <v>2.0</v>
      </c>
      <c r="Q3" s="1"/>
    </row>
    <row r="4">
      <c r="B4" s="5"/>
      <c r="Q4" s="1"/>
    </row>
    <row r="5">
      <c r="B5" s="6" t="s">
        <v>1</v>
      </c>
      <c r="C5" s="7" t="str">
        <f>IF($E$3=1,OPTION_PARAMETER!$C$8,OPTION_PARAMETER!$C$9)</f>
        <v>UTM (WGS84)</v>
      </c>
      <c r="D5" s="7"/>
      <c r="F5" s="6" t="s">
        <v>2</v>
      </c>
      <c r="G5" s="7" t="str">
        <f>IF($E$3=1,OPTION_PARAMETER!$C$9,OPTION_PARAMETER!$C$8)</f>
        <v>VN2000- 3 degrees</v>
      </c>
      <c r="H5" s="7"/>
      <c r="I5" s="7"/>
      <c r="J5" s="7"/>
      <c r="O5" s="8" t="s">
        <v>3</v>
      </c>
      <c r="P5" s="9" t="s">
        <v>4</v>
      </c>
      <c r="Q5" s="10" t="s">
        <v>5</v>
      </c>
    </row>
    <row r="6">
      <c r="O6" s="11">
        <v>1.0</v>
      </c>
      <c r="P6" s="12" t="s">
        <v>6</v>
      </c>
      <c r="Q6" s="13">
        <v>103.0</v>
      </c>
    </row>
    <row r="7" ht="15.0" customHeight="1">
      <c r="A7" s="14" t="s">
        <v>7</v>
      </c>
      <c r="B7" s="15" t="s">
        <v>8</v>
      </c>
      <c r="C7" s="5">
        <v>580295.9803890032</v>
      </c>
      <c r="D7" s="16"/>
      <c r="F7" s="15" t="s">
        <v>8</v>
      </c>
      <c r="G7" s="17">
        <f>GEO_UTM!C27</f>
        <v>880014.8222</v>
      </c>
      <c r="H7" s="17"/>
      <c r="I7" s="18"/>
      <c r="J7" s="18"/>
      <c r="O7" s="11">
        <v>2.0</v>
      </c>
      <c r="P7" s="12" t="s">
        <v>9</v>
      </c>
      <c r="Q7" s="13">
        <v>104.0</v>
      </c>
    </row>
    <row r="8">
      <c r="A8" s="19"/>
      <c r="B8" s="15" t="s">
        <v>10</v>
      </c>
      <c r="C8" s="5">
        <v>1290275.3273905686</v>
      </c>
      <c r="F8" s="15" t="s">
        <v>10</v>
      </c>
      <c r="G8" s="17">
        <f>GEO_UTM!C28</f>
        <v>1292237.013</v>
      </c>
      <c r="H8" s="17"/>
      <c r="I8" s="18"/>
      <c r="J8" s="18"/>
      <c r="O8" s="11">
        <v>3.0</v>
      </c>
      <c r="P8" s="12" t="s">
        <v>11</v>
      </c>
      <c r="Q8" s="13">
        <v>104.5</v>
      </c>
    </row>
    <row r="9">
      <c r="B9" s="15"/>
      <c r="F9" s="20"/>
      <c r="O9" s="11">
        <v>4.0</v>
      </c>
      <c r="P9" s="12" t="s">
        <v>12</v>
      </c>
      <c r="Q9" s="13">
        <v>104.5</v>
      </c>
    </row>
    <row r="10">
      <c r="B10" s="21" t="s">
        <v>13</v>
      </c>
      <c r="C10" s="22" t="s">
        <v>14</v>
      </c>
      <c r="D10" s="23">
        <v>107.75</v>
      </c>
      <c r="E10" s="5"/>
      <c r="F10" s="21" t="s">
        <v>13</v>
      </c>
      <c r="G10" s="22" t="s">
        <v>14</v>
      </c>
      <c r="H10" s="24"/>
      <c r="I10" s="25">
        <v>105.0</v>
      </c>
      <c r="O10" s="11">
        <v>5.0</v>
      </c>
      <c r="P10" s="12" t="s">
        <v>15</v>
      </c>
      <c r="Q10" s="13">
        <v>104.75</v>
      </c>
    </row>
    <row r="11">
      <c r="B11" s="26"/>
      <c r="C11" s="27" t="s">
        <v>16</v>
      </c>
      <c r="D11" s="28">
        <v>500000.0</v>
      </c>
      <c r="E11" s="5"/>
      <c r="F11" s="26"/>
      <c r="G11" s="27" t="s">
        <v>16</v>
      </c>
      <c r="H11" s="29"/>
      <c r="I11" s="28">
        <v>500000.0</v>
      </c>
      <c r="O11" s="11">
        <v>6.0</v>
      </c>
      <c r="P11" s="12" t="s">
        <v>17</v>
      </c>
      <c r="Q11" s="13">
        <v>104.75</v>
      </c>
    </row>
    <row r="12">
      <c r="B12" s="26"/>
      <c r="C12" s="27" t="s">
        <v>18</v>
      </c>
      <c r="D12" s="28">
        <v>0.0</v>
      </c>
      <c r="E12" s="5"/>
      <c r="F12" s="26"/>
      <c r="G12" s="27" t="s">
        <v>18</v>
      </c>
      <c r="H12" s="29"/>
      <c r="I12" s="28">
        <v>0.0</v>
      </c>
      <c r="O12" s="11">
        <v>7.0</v>
      </c>
      <c r="P12" s="12" t="s">
        <v>19</v>
      </c>
      <c r="Q12" s="13">
        <v>104.75</v>
      </c>
    </row>
    <row r="13">
      <c r="B13" s="26"/>
      <c r="C13" s="30" t="s">
        <v>20</v>
      </c>
      <c r="D13" s="31">
        <v>0.9999</v>
      </c>
      <c r="E13" s="5"/>
      <c r="F13" s="26"/>
      <c r="G13" s="30" t="s">
        <v>20</v>
      </c>
      <c r="H13" s="32"/>
      <c r="I13" s="33">
        <v>0.9996</v>
      </c>
      <c r="O13" s="11">
        <v>8.0</v>
      </c>
      <c r="P13" s="12" t="s">
        <v>21</v>
      </c>
      <c r="Q13" s="13">
        <v>104.75</v>
      </c>
    </row>
    <row r="14">
      <c r="B14" s="15"/>
      <c r="C14" s="5"/>
      <c r="D14" s="5"/>
      <c r="E14" s="5"/>
      <c r="F14" s="20"/>
      <c r="G14" s="5"/>
      <c r="H14" s="5"/>
      <c r="I14" s="5"/>
      <c r="O14" s="11">
        <v>9.0</v>
      </c>
      <c r="P14" s="12" t="s">
        <v>22</v>
      </c>
      <c r="Q14" s="13">
        <v>104.75</v>
      </c>
    </row>
    <row r="15">
      <c r="B15" s="34" t="s">
        <v>23</v>
      </c>
      <c r="C15" s="35" t="s">
        <v>24</v>
      </c>
      <c r="D15" s="36"/>
      <c r="E15" s="5"/>
      <c r="F15" s="34" t="s">
        <v>23</v>
      </c>
      <c r="G15" s="35" t="s">
        <v>24</v>
      </c>
      <c r="H15" s="37"/>
      <c r="I15" s="36"/>
      <c r="O15" s="11">
        <v>10.0</v>
      </c>
      <c r="P15" s="12" t="s">
        <v>25</v>
      </c>
      <c r="Q15" s="13">
        <v>105.0</v>
      </c>
    </row>
    <row r="16">
      <c r="C16" s="38" t="s">
        <v>26</v>
      </c>
      <c r="D16" s="39">
        <v>6378137.0</v>
      </c>
      <c r="E16" s="5"/>
      <c r="G16" s="38" t="s">
        <v>26</v>
      </c>
      <c r="H16" s="40"/>
      <c r="I16" s="41">
        <v>6378137.0</v>
      </c>
      <c r="O16" s="11">
        <v>11.0</v>
      </c>
      <c r="P16" s="12" t="s">
        <v>27</v>
      </c>
      <c r="Q16" s="13">
        <v>105.0</v>
      </c>
    </row>
    <row r="17">
      <c r="C17" s="38" t="s">
        <v>28</v>
      </c>
      <c r="D17" s="39">
        <v>6356752.314244964</v>
      </c>
      <c r="E17" s="5"/>
      <c r="G17" s="38" t="s">
        <v>28</v>
      </c>
      <c r="H17" s="40"/>
      <c r="I17" s="41">
        <v>6356752.314244964</v>
      </c>
      <c r="O17" s="11">
        <v>12.0</v>
      </c>
      <c r="P17" s="12" t="s">
        <v>29</v>
      </c>
      <c r="Q17" s="13">
        <v>105.0</v>
      </c>
    </row>
    <row r="18">
      <c r="C18" s="42" t="s">
        <v>30</v>
      </c>
      <c r="D18" s="43">
        <v>298.25722356</v>
      </c>
      <c r="E18" s="5"/>
      <c r="G18" s="42" t="s">
        <v>30</v>
      </c>
      <c r="H18" s="44"/>
      <c r="I18" s="43">
        <v>298.25722356</v>
      </c>
      <c r="O18" s="11">
        <v>13.0</v>
      </c>
      <c r="P18" s="12" t="s">
        <v>31</v>
      </c>
      <c r="Q18" s="13">
        <v>105.0</v>
      </c>
    </row>
    <row r="19">
      <c r="O19" s="11">
        <v>14.0</v>
      </c>
      <c r="P19" s="12" t="s">
        <v>32</v>
      </c>
      <c r="Q19" s="13">
        <v>105.0</v>
      </c>
    </row>
    <row r="20">
      <c r="O20" s="11">
        <v>15.0</v>
      </c>
      <c r="P20" s="12" t="s">
        <v>33</v>
      </c>
      <c r="Q20" s="13">
        <v>105.0</v>
      </c>
    </row>
    <row r="21" ht="15.75" customHeight="1">
      <c r="C21" s="45"/>
      <c r="O21" s="11">
        <v>16.0</v>
      </c>
      <c r="P21" s="12" t="s">
        <v>34</v>
      </c>
      <c r="Q21" s="13">
        <v>105.0</v>
      </c>
    </row>
    <row r="22" ht="15.75" customHeight="1">
      <c r="B22" s="46" t="s">
        <v>35</v>
      </c>
      <c r="C22" s="37"/>
      <c r="D22" s="37"/>
      <c r="E22" s="37"/>
      <c r="F22" s="37"/>
      <c r="G22" s="37"/>
      <c r="H22" s="37"/>
      <c r="I22" s="36"/>
      <c r="O22" s="11">
        <v>17.0</v>
      </c>
      <c r="P22" s="12" t="s">
        <v>36</v>
      </c>
      <c r="Q22" s="13">
        <v>105.0</v>
      </c>
    </row>
    <row r="23" ht="15.75" customHeight="1">
      <c r="B23" s="47" t="s">
        <v>37</v>
      </c>
      <c r="C23" s="48" t="s">
        <v>38</v>
      </c>
      <c r="D23" s="48" t="s">
        <v>39</v>
      </c>
      <c r="E23" s="48" t="s">
        <v>40</v>
      </c>
      <c r="F23" s="48" t="s">
        <v>41</v>
      </c>
      <c r="G23" s="48" t="s">
        <v>42</v>
      </c>
      <c r="H23" s="49"/>
      <c r="I23" s="50" t="s">
        <v>43</v>
      </c>
      <c r="O23" s="11">
        <v>18.0</v>
      </c>
      <c r="P23" s="12" t="s">
        <v>44</v>
      </c>
      <c r="Q23" s="13">
        <v>105.0</v>
      </c>
    </row>
    <row r="24" ht="15.75" customHeight="1">
      <c r="B24" s="51">
        <f>IF($E$3=1,OPTION_PARAMETER!$E$3,OPTION_PARAMETER!$E$4)</f>
        <v>191.9044143</v>
      </c>
      <c r="C24" s="52">
        <f>IF($E$3=1,OPTION_PARAMETER!$F$3,OPTION_PARAMETER!$F$4)</f>
        <v>39.30318279</v>
      </c>
      <c r="D24" s="52">
        <f>IF($E$3=1,OPTION_PARAMETER!$G$3,OPTION_PARAMETER!$G$4)</f>
        <v>111.4503283</v>
      </c>
      <c r="E24" s="52">
        <f>IF($E$3=1,OPTION_PARAMETER!$H$3,OPTION_PARAMETER!$H$4)</f>
        <v>0.00928836</v>
      </c>
      <c r="F24" s="52">
        <f>IF($E$3=1,OPTION_PARAMETER!$I$3,OPTION_PARAMETER!$I$4)</f>
        <v>-0.01975479</v>
      </c>
      <c r="G24" s="52">
        <f>IF($E$3=1,OPTION_PARAMETER!$J$3,OPTION_PARAMETER!$J$4)</f>
        <v>0.00427372</v>
      </c>
      <c r="H24" s="53"/>
      <c r="I24" s="54">
        <f>IF($E$3=1,OPTION_PARAMETER!$K$3,OPTION_PARAMETER!$K$4)</f>
        <v>-0.000000252906277</v>
      </c>
      <c r="K24" s="5"/>
      <c r="O24" s="11">
        <v>19.0</v>
      </c>
      <c r="P24" s="12" t="s">
        <v>45</v>
      </c>
      <c r="Q24" s="13">
        <v>105.5</v>
      </c>
    </row>
    <row r="25" ht="15.75" customHeight="1">
      <c r="O25" s="11">
        <v>20.0</v>
      </c>
      <c r="P25" s="12" t="s">
        <v>46</v>
      </c>
      <c r="Q25" s="13">
        <v>105.5</v>
      </c>
    </row>
    <row r="26" ht="15.75" customHeight="1">
      <c r="O26" s="11">
        <v>21.0</v>
      </c>
      <c r="P26" s="12" t="s">
        <v>47</v>
      </c>
      <c r="Q26" s="13">
        <v>105.5</v>
      </c>
    </row>
    <row r="27" ht="15.75" customHeight="1">
      <c r="O27" s="11">
        <v>22.0</v>
      </c>
      <c r="P27" s="12" t="s">
        <v>48</v>
      </c>
      <c r="Q27" s="13">
        <v>105.5</v>
      </c>
    </row>
    <row r="28" ht="21.0" customHeight="1">
      <c r="B28" s="55"/>
      <c r="C28" s="56"/>
      <c r="D28" s="56"/>
      <c r="E28" s="56"/>
      <c r="F28" s="56"/>
      <c r="G28" s="56"/>
      <c r="H28" s="56"/>
      <c r="I28" s="57"/>
      <c r="O28" s="11">
        <v>23.0</v>
      </c>
      <c r="P28" s="12" t="s">
        <v>49</v>
      </c>
      <c r="Q28" s="13">
        <v>105.5</v>
      </c>
    </row>
    <row r="29" ht="15.75" customHeight="1">
      <c r="B29" s="58"/>
      <c r="J29" s="59"/>
      <c r="O29" s="11">
        <v>24.0</v>
      </c>
      <c r="P29" s="12" t="s">
        <v>50</v>
      </c>
      <c r="Q29" s="13">
        <v>105.5</v>
      </c>
    </row>
    <row r="30" ht="15.75" customHeight="1">
      <c r="B30" s="58"/>
      <c r="J30" s="59"/>
      <c r="O30" s="11">
        <v>25.0</v>
      </c>
      <c r="P30" s="12" t="s">
        <v>51</v>
      </c>
      <c r="Q30" s="13">
        <v>105.5</v>
      </c>
    </row>
    <row r="31" ht="15.75" customHeight="1">
      <c r="B31" s="60"/>
      <c r="I31" s="61"/>
      <c r="J31" s="59"/>
      <c r="O31" s="11">
        <v>26.0</v>
      </c>
      <c r="P31" s="12" t="s">
        <v>52</v>
      </c>
      <c r="Q31" s="13">
        <v>105.5</v>
      </c>
    </row>
    <row r="32" ht="15.75" customHeight="1">
      <c r="A32" s="61"/>
      <c r="B32" s="62"/>
      <c r="I32" s="63"/>
      <c r="O32" s="11">
        <v>27.0</v>
      </c>
      <c r="P32" s="12" t="s">
        <v>53</v>
      </c>
      <c r="Q32" s="13">
        <v>105.5</v>
      </c>
    </row>
    <row r="33" ht="15.75" customHeight="1">
      <c r="B33" s="64"/>
      <c r="C33" s="65"/>
      <c r="D33" s="65"/>
      <c r="E33" s="65"/>
      <c r="F33" s="65"/>
      <c r="G33" s="65"/>
      <c r="H33" s="65"/>
      <c r="I33" s="66"/>
      <c r="O33" s="11">
        <v>28.0</v>
      </c>
      <c r="P33" s="12" t="s">
        <v>54</v>
      </c>
      <c r="Q33" s="13">
        <v>105.5</v>
      </c>
    </row>
    <row r="34" ht="15.75" customHeight="1">
      <c r="B34" s="5"/>
      <c r="C34" s="5"/>
      <c r="D34" s="5"/>
      <c r="O34" s="11">
        <v>29.0</v>
      </c>
      <c r="P34" s="12" t="s">
        <v>55</v>
      </c>
      <c r="Q34" s="13">
        <v>105.5</v>
      </c>
    </row>
    <row r="35" ht="15.75" customHeight="1">
      <c r="O35" s="11">
        <v>30.0</v>
      </c>
      <c r="P35" s="12" t="s">
        <v>56</v>
      </c>
      <c r="Q35" s="13">
        <v>105.75</v>
      </c>
    </row>
    <row r="36" ht="15.75" customHeight="1">
      <c r="O36" s="11">
        <v>31.0</v>
      </c>
      <c r="P36" s="12" t="s">
        <v>57</v>
      </c>
      <c r="Q36" s="13">
        <v>105.75</v>
      </c>
    </row>
    <row r="37" ht="15.75" customHeight="1">
      <c r="O37" s="11">
        <v>32.0</v>
      </c>
      <c r="P37" s="12" t="s">
        <v>58</v>
      </c>
      <c r="Q37" s="13">
        <v>105.75</v>
      </c>
    </row>
    <row r="38" ht="15.75" customHeight="1">
      <c r="O38" s="11">
        <v>33.0</v>
      </c>
      <c r="P38" s="12" t="s">
        <v>59</v>
      </c>
      <c r="Q38" s="13">
        <v>105.75</v>
      </c>
    </row>
    <row r="39" ht="15.75" customHeight="1">
      <c r="C39" s="67"/>
      <c r="O39" s="11">
        <v>34.0</v>
      </c>
      <c r="P39" s="12" t="s">
        <v>60</v>
      </c>
      <c r="Q39" s="13">
        <v>105.75</v>
      </c>
    </row>
    <row r="40" ht="15.75" customHeight="1">
      <c r="O40" s="11">
        <v>35.0</v>
      </c>
      <c r="P40" s="12" t="s">
        <v>61</v>
      </c>
      <c r="Q40" s="13">
        <v>105.75</v>
      </c>
    </row>
    <row r="41" ht="15.75" customHeight="1">
      <c r="O41" s="11">
        <v>36.0</v>
      </c>
      <c r="P41" s="12" t="s">
        <v>62</v>
      </c>
      <c r="Q41" s="13">
        <v>105.75</v>
      </c>
    </row>
    <row r="42" ht="15.75" customHeight="1">
      <c r="O42" s="11">
        <v>37.0</v>
      </c>
      <c r="P42" s="12" t="s">
        <v>63</v>
      </c>
      <c r="Q42" s="13">
        <v>106.0</v>
      </c>
    </row>
    <row r="43" ht="15.75" customHeight="1">
      <c r="O43" s="11">
        <v>38.0</v>
      </c>
      <c r="P43" s="12" t="s">
        <v>64</v>
      </c>
      <c r="Q43" s="13">
        <v>106.0</v>
      </c>
    </row>
    <row r="44" ht="15.75" customHeight="1">
      <c r="O44" s="11">
        <v>39.0</v>
      </c>
      <c r="P44" s="12" t="s">
        <v>65</v>
      </c>
      <c r="Q44" s="13">
        <v>106.0</v>
      </c>
    </row>
    <row r="45" ht="15.75" customHeight="1">
      <c r="O45" s="11">
        <v>40.0</v>
      </c>
      <c r="P45" s="12" t="s">
        <v>66</v>
      </c>
      <c r="Q45" s="13">
        <v>106.25</v>
      </c>
    </row>
    <row r="46" ht="15.75" customHeight="1">
      <c r="O46" s="11">
        <v>41.0</v>
      </c>
      <c r="P46" s="12" t="s">
        <v>67</v>
      </c>
      <c r="Q46" s="13">
        <v>106.25</v>
      </c>
    </row>
    <row r="47" ht="15.75" customHeight="1">
      <c r="O47" s="11">
        <v>42.0</v>
      </c>
      <c r="P47" s="12" t="s">
        <v>68</v>
      </c>
      <c r="Q47" s="13">
        <v>106.5</v>
      </c>
    </row>
    <row r="48" ht="15.75" customHeight="1">
      <c r="O48" s="11">
        <v>43.0</v>
      </c>
      <c r="P48" s="12" t="s">
        <v>69</v>
      </c>
      <c r="Q48" s="13">
        <v>106.5</v>
      </c>
    </row>
    <row r="49" ht="15.75" customHeight="1">
      <c r="O49" s="11">
        <v>44.0</v>
      </c>
      <c r="P49" s="12" t="s">
        <v>70</v>
      </c>
      <c r="Q49" s="13">
        <v>107.0</v>
      </c>
    </row>
    <row r="50" ht="15.75" customHeight="1">
      <c r="O50" s="11">
        <v>45.0</v>
      </c>
      <c r="P50" s="12" t="s">
        <v>71</v>
      </c>
      <c r="Q50" s="13">
        <v>107.0</v>
      </c>
    </row>
    <row r="51" ht="15.75" customHeight="1">
      <c r="O51" s="11">
        <v>46.0</v>
      </c>
      <c r="P51" s="12" t="s">
        <v>72</v>
      </c>
      <c r="Q51" s="13">
        <v>107.25</v>
      </c>
    </row>
    <row r="52" ht="15.75" customHeight="1">
      <c r="O52" s="11">
        <v>47.0</v>
      </c>
      <c r="P52" s="12" t="s">
        <v>73</v>
      </c>
      <c r="Q52" s="13">
        <v>107.5</v>
      </c>
    </row>
    <row r="53" ht="15.75" customHeight="1">
      <c r="O53" s="11">
        <v>48.0</v>
      </c>
      <c r="P53" s="12" t="s">
        <v>74</v>
      </c>
      <c r="Q53" s="13">
        <v>107.75</v>
      </c>
    </row>
    <row r="54" ht="15.75" customHeight="1">
      <c r="O54" s="11">
        <v>49.0</v>
      </c>
      <c r="P54" s="12" t="s">
        <v>75</v>
      </c>
      <c r="Q54" s="13">
        <v>107.75</v>
      </c>
    </row>
    <row r="55" ht="15.75" customHeight="1">
      <c r="O55" s="11"/>
      <c r="P55" s="12"/>
      <c r="Q55" s="13"/>
    </row>
    <row r="56" ht="15.75" customHeight="1">
      <c r="O56" s="11"/>
      <c r="P56" s="12"/>
      <c r="Q56" s="13"/>
    </row>
    <row r="57" ht="15.75" customHeight="1">
      <c r="O57" s="11">
        <v>50.0</v>
      </c>
      <c r="P57" s="12" t="s">
        <v>76</v>
      </c>
      <c r="Q57" s="13">
        <v>107.75</v>
      </c>
    </row>
    <row r="58" ht="15.75" customHeight="1">
      <c r="O58" s="11">
        <v>51.0</v>
      </c>
      <c r="P58" s="12" t="s">
        <v>77</v>
      </c>
      <c r="Q58" s="13">
        <v>107.75</v>
      </c>
    </row>
    <row r="59" ht="15.75" customHeight="1">
      <c r="O59" s="11">
        <v>52.0</v>
      </c>
      <c r="P59" s="12" t="s">
        <v>78</v>
      </c>
      <c r="Q59" s="13">
        <v>107.75</v>
      </c>
    </row>
    <row r="60" ht="15.75" customHeight="1">
      <c r="O60" s="11">
        <v>53.0</v>
      </c>
      <c r="P60" s="12" t="s">
        <v>79</v>
      </c>
      <c r="Q60" s="13">
        <v>107.75</v>
      </c>
    </row>
    <row r="61" ht="15.75" customHeight="1">
      <c r="O61" s="11">
        <v>54.0</v>
      </c>
      <c r="P61" s="12" t="s">
        <v>80</v>
      </c>
      <c r="Q61" s="13">
        <v>108.0</v>
      </c>
    </row>
    <row r="62" ht="15.75" customHeight="1">
      <c r="O62" s="11">
        <v>55.0</v>
      </c>
      <c r="P62" s="12" t="s">
        <v>81</v>
      </c>
      <c r="Q62" s="13">
        <v>108.25</v>
      </c>
    </row>
    <row r="63" ht="15.75" customHeight="1">
      <c r="O63" s="11">
        <v>56.0</v>
      </c>
      <c r="P63" s="12" t="s">
        <v>82</v>
      </c>
      <c r="Q63" s="13">
        <v>108.25</v>
      </c>
    </row>
    <row r="64" ht="15.75" customHeight="1">
      <c r="O64" s="11">
        <v>57.0</v>
      </c>
      <c r="P64" s="12" t="s">
        <v>83</v>
      </c>
      <c r="Q64" s="13">
        <v>108.25</v>
      </c>
    </row>
    <row r="65" ht="15.75" customHeight="1">
      <c r="O65" s="11">
        <v>58.0</v>
      </c>
      <c r="P65" s="12" t="s">
        <v>84</v>
      </c>
      <c r="Q65" s="13">
        <v>108.5</v>
      </c>
    </row>
    <row r="66" ht="15.75" customHeight="1">
      <c r="O66" s="11">
        <v>59.0</v>
      </c>
      <c r="P66" s="12" t="s">
        <v>85</v>
      </c>
      <c r="Q66" s="13">
        <v>108.5</v>
      </c>
    </row>
    <row r="67" ht="15.75" customHeight="1">
      <c r="O67" s="11">
        <v>60.0</v>
      </c>
      <c r="P67" s="12" t="s">
        <v>86</v>
      </c>
      <c r="Q67" s="13">
        <v>108.5</v>
      </c>
    </row>
    <row r="68" ht="15.75" customHeight="1">
      <c r="O68" s="11">
        <v>61.0</v>
      </c>
      <c r="P68" s="12" t="s">
        <v>87</v>
      </c>
      <c r="Q68" s="13">
        <v>108.5</v>
      </c>
    </row>
    <row r="69" ht="15.75" customHeight="1">
      <c r="Q69" s="1"/>
    </row>
    <row r="70" ht="15.75" customHeight="1">
      <c r="Q70" s="1"/>
    </row>
    <row r="71" ht="15.75" customHeight="1">
      <c r="Q71" s="1"/>
    </row>
    <row r="72" ht="15.75" customHeight="1">
      <c r="Q72" s="1"/>
    </row>
    <row r="73" ht="15.75" customHeight="1">
      <c r="Q73" s="1"/>
    </row>
    <row r="74" ht="15.75" customHeight="1">
      <c r="Q74" s="1"/>
    </row>
    <row r="75" ht="15.75" customHeight="1">
      <c r="Q75" s="1"/>
    </row>
    <row r="76" ht="15.75" customHeight="1">
      <c r="Q76" s="1"/>
    </row>
    <row r="77" ht="15.75" customHeight="1">
      <c r="Q77" s="1"/>
    </row>
    <row r="78" ht="15.75" customHeight="1">
      <c r="Q78" s="1"/>
    </row>
    <row r="79" ht="15.75" customHeight="1">
      <c r="Q79" s="1"/>
    </row>
    <row r="80" ht="15.75" customHeight="1">
      <c r="Q80" s="1"/>
    </row>
    <row r="81" ht="15.75" customHeight="1">
      <c r="Q81" s="1"/>
    </row>
    <row r="82" ht="15.75" customHeight="1">
      <c r="Q82" s="1"/>
    </row>
    <row r="83" ht="15.75" customHeight="1">
      <c r="Q83" s="1"/>
    </row>
    <row r="84" ht="15.75" customHeight="1">
      <c r="Q84" s="1"/>
    </row>
    <row r="85" ht="15.75" customHeight="1">
      <c r="Q85" s="1"/>
    </row>
    <row r="86" ht="15.75" customHeight="1">
      <c r="Q86" s="1"/>
    </row>
    <row r="87" ht="15.75" customHeight="1">
      <c r="Q87" s="1"/>
    </row>
    <row r="88" ht="15.75" customHeight="1">
      <c r="Q88" s="1"/>
    </row>
    <row r="89" ht="15.75" customHeight="1">
      <c r="Q89" s="1"/>
    </row>
    <row r="90" ht="15.75" customHeight="1">
      <c r="Q90" s="1"/>
    </row>
    <row r="91" ht="15.75" customHeight="1">
      <c r="Q91" s="1"/>
    </row>
    <row r="92" ht="15.75" customHeight="1">
      <c r="Q92" s="1"/>
    </row>
    <row r="93" ht="15.75" customHeight="1">
      <c r="Q93" s="1"/>
    </row>
    <row r="94" ht="15.75" customHeight="1">
      <c r="Q94" s="1"/>
    </row>
    <row r="95" ht="15.75" customHeight="1">
      <c r="Q95" s="1"/>
    </row>
    <row r="96" ht="15.75" customHeight="1">
      <c r="Q96" s="1"/>
    </row>
    <row r="97" ht="15.75" customHeight="1">
      <c r="Q97" s="1"/>
    </row>
    <row r="98" ht="15.75" customHeight="1">
      <c r="Q98" s="1"/>
    </row>
    <row r="99" ht="15.75" customHeight="1">
      <c r="Q99" s="1"/>
    </row>
    <row r="100" ht="15.75" customHeight="1">
      <c r="Q100" s="1"/>
    </row>
    <row r="101" ht="15.75" customHeight="1">
      <c r="Q101" s="1"/>
    </row>
    <row r="102" ht="15.75" customHeight="1">
      <c r="Q102" s="1"/>
    </row>
    <row r="103" ht="15.75" customHeight="1">
      <c r="Q103" s="1"/>
    </row>
    <row r="104" ht="15.75" customHeight="1">
      <c r="Q104" s="1"/>
    </row>
    <row r="105" ht="15.75" customHeight="1">
      <c r="Q105" s="1"/>
    </row>
    <row r="106" ht="15.75" customHeight="1">
      <c r="Q106" s="1"/>
    </row>
    <row r="107" ht="15.75" customHeight="1">
      <c r="Q107" s="1"/>
    </row>
    <row r="108" ht="15.75" customHeight="1">
      <c r="Q108" s="1"/>
    </row>
    <row r="109" ht="15.75" customHeight="1">
      <c r="Q109" s="1"/>
    </row>
    <row r="110" ht="15.75" customHeight="1">
      <c r="Q110" s="1"/>
    </row>
    <row r="111" ht="15.75" customHeight="1">
      <c r="Q111" s="1"/>
    </row>
    <row r="112" ht="15.75" customHeight="1">
      <c r="Q112" s="1"/>
    </row>
    <row r="113" ht="15.75" customHeight="1">
      <c r="Q113" s="1"/>
    </row>
    <row r="114" ht="15.75" customHeight="1">
      <c r="Q114" s="1"/>
    </row>
    <row r="115" ht="15.75" customHeight="1">
      <c r="Q115" s="1"/>
    </row>
    <row r="116" ht="15.75" customHeight="1">
      <c r="Q116" s="1"/>
    </row>
    <row r="117" ht="15.75" customHeight="1">
      <c r="Q117" s="1"/>
    </row>
    <row r="118" ht="15.75" customHeight="1">
      <c r="Q118" s="1"/>
    </row>
    <row r="119" ht="15.75" customHeight="1">
      <c r="Q119" s="1"/>
    </row>
    <row r="120" ht="15.75" customHeight="1">
      <c r="Q120" s="1"/>
    </row>
    <row r="121" ht="15.75" customHeight="1">
      <c r="Q121" s="1"/>
    </row>
    <row r="122" ht="15.75" customHeight="1">
      <c r="Q122" s="1"/>
    </row>
    <row r="123" ht="15.75" customHeight="1">
      <c r="Q123" s="1"/>
    </row>
    <row r="124" ht="15.75" customHeight="1">
      <c r="Q124" s="1"/>
    </row>
    <row r="125" ht="15.75" customHeight="1">
      <c r="Q125" s="1"/>
    </row>
    <row r="126" ht="15.75" customHeight="1">
      <c r="Q126" s="1"/>
    </row>
    <row r="127" ht="15.75" customHeight="1">
      <c r="Q127" s="1"/>
    </row>
    <row r="128" ht="15.75" customHeight="1">
      <c r="Q128" s="1"/>
    </row>
    <row r="129" ht="15.75" customHeight="1">
      <c r="Q129" s="1"/>
    </row>
    <row r="130" ht="15.75" customHeight="1">
      <c r="Q130" s="1"/>
    </row>
    <row r="131" ht="15.75" customHeight="1">
      <c r="Q131" s="1"/>
    </row>
    <row r="132" ht="15.75" customHeight="1">
      <c r="Q132" s="1"/>
    </row>
    <row r="133" ht="15.75" customHeight="1">
      <c r="Q133" s="1"/>
    </row>
    <row r="134" ht="15.75" customHeight="1">
      <c r="Q134" s="1"/>
    </row>
    <row r="135" ht="15.75" customHeight="1">
      <c r="Q135" s="1"/>
    </row>
    <row r="136" ht="15.75" customHeight="1">
      <c r="Q136" s="1"/>
    </row>
    <row r="137" ht="15.75" customHeight="1">
      <c r="Q137" s="1"/>
    </row>
    <row r="138" ht="15.75" customHeight="1">
      <c r="Q138" s="1"/>
    </row>
    <row r="139" ht="15.75" customHeight="1">
      <c r="Q139" s="1"/>
    </row>
    <row r="140" ht="15.75" customHeight="1">
      <c r="Q140" s="1"/>
    </row>
    <row r="141" ht="15.75" customHeight="1">
      <c r="Q141" s="1"/>
    </row>
    <row r="142" ht="15.75" customHeight="1">
      <c r="Q142" s="1"/>
    </row>
    <row r="143" ht="15.75" customHeight="1">
      <c r="Q143" s="1"/>
    </row>
    <row r="144" ht="15.75" customHeight="1">
      <c r="Q144" s="1"/>
    </row>
    <row r="145" ht="15.75" customHeight="1">
      <c r="Q145" s="1"/>
    </row>
    <row r="146" ht="15.75" customHeight="1">
      <c r="Q146" s="1"/>
    </row>
    <row r="147" ht="15.75" customHeight="1">
      <c r="Q147" s="1"/>
    </row>
    <row r="148" ht="15.75" customHeight="1">
      <c r="Q148" s="1"/>
    </row>
    <row r="149" ht="15.75" customHeight="1">
      <c r="Q149" s="1"/>
    </row>
    <row r="150" ht="15.75" customHeight="1">
      <c r="Q150" s="1"/>
    </row>
    <row r="151" ht="15.75" customHeight="1">
      <c r="Q151" s="1"/>
    </row>
    <row r="152" ht="15.75" customHeight="1">
      <c r="Q152" s="1"/>
    </row>
    <row r="153" ht="15.75" customHeight="1">
      <c r="Q153" s="1"/>
    </row>
    <row r="154" ht="15.75" customHeight="1">
      <c r="Q154" s="1"/>
    </row>
    <row r="155" ht="15.75" customHeight="1">
      <c r="Q155" s="1"/>
    </row>
    <row r="156" ht="15.75" customHeight="1">
      <c r="Q156" s="1"/>
    </row>
    <row r="157" ht="15.75" customHeight="1">
      <c r="Q157" s="1"/>
    </row>
    <row r="158" ht="15.75" customHeight="1">
      <c r="Q158" s="1"/>
    </row>
    <row r="159" ht="15.75" customHeight="1">
      <c r="Q159" s="1"/>
    </row>
    <row r="160" ht="15.75" customHeight="1">
      <c r="Q160" s="1"/>
    </row>
    <row r="161" ht="15.75" customHeight="1">
      <c r="Q161" s="1"/>
    </row>
    <row r="162" ht="15.75" customHeight="1">
      <c r="Q162" s="1"/>
    </row>
    <row r="163" ht="15.75" customHeight="1">
      <c r="Q163" s="1"/>
    </row>
    <row r="164" ht="15.75" customHeight="1">
      <c r="Q164" s="1"/>
    </row>
    <row r="165" ht="15.75" customHeight="1">
      <c r="Q165" s="1"/>
    </row>
    <row r="166" ht="15.75" customHeight="1">
      <c r="Q166" s="1"/>
    </row>
    <row r="167" ht="15.75" customHeight="1">
      <c r="Q167" s="1"/>
    </row>
    <row r="168" ht="15.75" customHeight="1">
      <c r="Q168" s="1"/>
    </row>
    <row r="169" ht="15.75" customHeight="1">
      <c r="Q169" s="1"/>
    </row>
    <row r="170" ht="15.75" customHeight="1">
      <c r="Q170" s="1"/>
    </row>
    <row r="171" ht="15.75" customHeight="1">
      <c r="Q171" s="1"/>
    </row>
    <row r="172" ht="15.75" customHeight="1">
      <c r="Q172" s="1"/>
    </row>
    <row r="173" ht="15.75" customHeight="1">
      <c r="Q173" s="1"/>
    </row>
    <row r="174" ht="15.75" customHeight="1">
      <c r="Q174" s="1"/>
    </row>
    <row r="175" ht="15.75" customHeight="1">
      <c r="Q175" s="1"/>
    </row>
    <row r="176" ht="15.75" customHeight="1">
      <c r="Q176" s="1"/>
    </row>
    <row r="177" ht="15.75" customHeight="1">
      <c r="Q177" s="1"/>
    </row>
    <row r="178" ht="15.75" customHeight="1">
      <c r="Q178" s="1"/>
    </row>
    <row r="179" ht="15.75" customHeight="1">
      <c r="Q179" s="1"/>
    </row>
    <row r="180" ht="15.75" customHeight="1">
      <c r="Q180" s="1"/>
    </row>
    <row r="181" ht="15.75" customHeight="1">
      <c r="Q181" s="1"/>
    </row>
    <row r="182" ht="15.75" customHeight="1">
      <c r="Q182" s="1"/>
    </row>
    <row r="183" ht="15.75" customHeight="1">
      <c r="Q183" s="1"/>
    </row>
    <row r="184" ht="15.75" customHeight="1">
      <c r="Q184" s="1"/>
    </row>
    <row r="185" ht="15.75" customHeight="1">
      <c r="Q185" s="1"/>
    </row>
    <row r="186" ht="15.75" customHeight="1">
      <c r="Q186" s="1"/>
    </row>
    <row r="187" ht="15.75" customHeight="1">
      <c r="Q187" s="1"/>
    </row>
    <row r="188" ht="15.75" customHeight="1">
      <c r="Q188" s="1"/>
    </row>
    <row r="189" ht="15.75" customHeight="1">
      <c r="Q189" s="1"/>
    </row>
    <row r="190" ht="15.75" customHeight="1">
      <c r="Q190" s="1"/>
    </row>
    <row r="191" ht="15.75" customHeight="1">
      <c r="Q191" s="1"/>
    </row>
    <row r="192" ht="15.75" customHeight="1">
      <c r="Q192" s="1"/>
    </row>
    <row r="193" ht="15.75" customHeight="1">
      <c r="Q193" s="1"/>
    </row>
    <row r="194" ht="15.75" customHeight="1">
      <c r="Q194" s="1"/>
    </row>
    <row r="195" ht="15.75" customHeight="1">
      <c r="Q195" s="1"/>
    </row>
    <row r="196" ht="15.75" customHeight="1">
      <c r="Q196" s="1"/>
    </row>
    <row r="197" ht="15.75" customHeight="1">
      <c r="Q197" s="1"/>
    </row>
    <row r="198" ht="15.75" customHeight="1">
      <c r="Q198" s="1"/>
    </row>
    <row r="199" ht="15.75" customHeight="1">
      <c r="Q199" s="1"/>
    </row>
    <row r="200" ht="15.75" customHeight="1">
      <c r="Q200" s="1"/>
    </row>
    <row r="201" ht="15.75" customHeight="1">
      <c r="Q201" s="1"/>
    </row>
    <row r="202" ht="15.75" customHeight="1">
      <c r="Q202" s="1"/>
    </row>
    <row r="203" ht="15.75" customHeight="1">
      <c r="Q203" s="1"/>
    </row>
    <row r="204" ht="15.75" customHeight="1">
      <c r="Q204" s="1"/>
    </row>
    <row r="205" ht="15.75" customHeight="1">
      <c r="Q205" s="1"/>
    </row>
    <row r="206" ht="15.75" customHeight="1">
      <c r="Q206" s="1"/>
    </row>
    <row r="207" ht="15.75" customHeight="1">
      <c r="Q207" s="1"/>
    </row>
    <row r="208" ht="15.75" customHeight="1">
      <c r="Q208" s="1"/>
    </row>
    <row r="209" ht="15.75" customHeight="1">
      <c r="Q209" s="1"/>
    </row>
    <row r="210" ht="15.75" customHeight="1">
      <c r="Q210" s="1"/>
    </row>
    <row r="211" ht="15.75" customHeight="1">
      <c r="Q211" s="1"/>
    </row>
    <row r="212" ht="15.75" customHeight="1">
      <c r="Q212" s="1"/>
    </row>
    <row r="213" ht="15.75" customHeight="1">
      <c r="Q213" s="1"/>
    </row>
    <row r="214" ht="15.75" customHeight="1">
      <c r="Q214" s="1"/>
    </row>
    <row r="215" ht="15.75" customHeight="1">
      <c r="Q215" s="1"/>
    </row>
    <row r="216" ht="15.75" customHeight="1">
      <c r="Q216" s="1"/>
    </row>
    <row r="217" ht="15.75" customHeight="1">
      <c r="Q217" s="1"/>
    </row>
    <row r="218" ht="15.75" customHeight="1">
      <c r="Q218" s="1"/>
    </row>
    <row r="219" ht="15.75" customHeight="1">
      <c r="Q219" s="1"/>
    </row>
    <row r="220" ht="15.75" customHeight="1">
      <c r="Q220" s="1"/>
    </row>
    <row r="221" ht="15.75" customHeight="1">
      <c r="Q221" s="1"/>
    </row>
    <row r="222" ht="15.75" customHeight="1">
      <c r="Q222" s="1"/>
    </row>
    <row r="223" ht="15.75" customHeight="1">
      <c r="Q223" s="1"/>
    </row>
    <row r="224" ht="15.75" customHeight="1">
      <c r="Q224" s="1"/>
    </row>
    <row r="225" ht="15.75" customHeight="1">
      <c r="Q225" s="1"/>
    </row>
    <row r="226" ht="15.75" customHeight="1">
      <c r="Q226" s="1"/>
    </row>
    <row r="227" ht="15.75" customHeight="1">
      <c r="Q227" s="1"/>
    </row>
    <row r="228" ht="15.75" customHeight="1">
      <c r="Q228" s="1"/>
    </row>
    <row r="229" ht="15.75" customHeight="1">
      <c r="Q229" s="1"/>
    </row>
    <row r="230" ht="15.75" customHeight="1">
      <c r="Q230" s="1"/>
    </row>
    <row r="231" ht="15.75" customHeight="1">
      <c r="Q231" s="1"/>
    </row>
    <row r="232" ht="15.75" customHeight="1">
      <c r="Q232" s="1"/>
    </row>
    <row r="233" ht="15.75" customHeight="1">
      <c r="Q233" s="1"/>
    </row>
    <row r="234" ht="15.75" customHeight="1">
      <c r="Q234" s="1"/>
    </row>
    <row r="235" ht="15.75" customHeight="1">
      <c r="Q235" s="1"/>
    </row>
    <row r="236" ht="15.75" customHeight="1">
      <c r="Q236" s="1"/>
    </row>
    <row r="237" ht="15.75" customHeight="1">
      <c r="Q237" s="1"/>
    </row>
    <row r="238" ht="15.75" customHeight="1">
      <c r="Q238" s="1"/>
    </row>
    <row r="239" ht="15.75" customHeight="1">
      <c r="Q239" s="1"/>
    </row>
    <row r="240" ht="15.75" customHeight="1">
      <c r="Q240" s="1"/>
    </row>
    <row r="241" ht="15.75" customHeight="1">
      <c r="Q241" s="1"/>
    </row>
    <row r="242" ht="15.75" customHeight="1">
      <c r="Q242" s="1"/>
    </row>
    <row r="243" ht="15.75" customHeight="1">
      <c r="Q243" s="1"/>
    </row>
    <row r="244" ht="15.75" customHeight="1">
      <c r="Q244" s="1"/>
    </row>
    <row r="245" ht="15.75" customHeight="1">
      <c r="Q245" s="1"/>
    </row>
    <row r="246" ht="15.75" customHeight="1">
      <c r="Q246" s="1"/>
    </row>
    <row r="247" ht="15.75" customHeight="1">
      <c r="Q247" s="1"/>
    </row>
    <row r="248" ht="15.75" customHeight="1">
      <c r="Q248" s="1"/>
    </row>
    <row r="249" ht="15.75" customHeight="1">
      <c r="Q249" s="1"/>
    </row>
    <row r="250" ht="15.75" customHeight="1">
      <c r="Q250" s="1"/>
    </row>
    <row r="251" ht="15.75" customHeight="1">
      <c r="Q251" s="1"/>
    </row>
    <row r="252" ht="15.75" customHeight="1">
      <c r="Q252" s="1"/>
    </row>
    <row r="253" ht="15.75" customHeight="1">
      <c r="Q253" s="1"/>
    </row>
    <row r="254" ht="15.75" customHeight="1">
      <c r="Q254" s="1"/>
    </row>
    <row r="255" ht="15.75" customHeight="1">
      <c r="Q255" s="1"/>
    </row>
    <row r="256" ht="15.75" customHeight="1">
      <c r="Q256" s="1"/>
    </row>
    <row r="257" ht="15.75" customHeight="1">
      <c r="Q257" s="1"/>
    </row>
    <row r="258" ht="15.75" customHeight="1">
      <c r="Q258" s="1"/>
    </row>
    <row r="259" ht="15.75" customHeight="1">
      <c r="Q259" s="1"/>
    </row>
    <row r="260" ht="15.75" customHeight="1">
      <c r="Q260" s="1"/>
    </row>
    <row r="261" ht="15.75" customHeight="1">
      <c r="Q261" s="1"/>
    </row>
    <row r="262" ht="15.75" customHeight="1">
      <c r="Q262" s="1"/>
    </row>
    <row r="263" ht="15.75" customHeight="1">
      <c r="Q263" s="1"/>
    </row>
    <row r="264" ht="15.75" customHeight="1">
      <c r="Q264" s="1"/>
    </row>
    <row r="265" ht="15.75" customHeight="1">
      <c r="Q265" s="1"/>
    </row>
    <row r="266" ht="15.75" customHeight="1">
      <c r="Q266" s="1"/>
    </row>
    <row r="267" ht="15.75" customHeight="1">
      <c r="Q267" s="1"/>
    </row>
    <row r="268" ht="15.75" customHeight="1">
      <c r="Q268" s="1"/>
    </row>
    <row r="269" ht="15.75" customHeight="1">
      <c r="Q269" s="1"/>
    </row>
    <row r="270" ht="15.75" customHeight="1">
      <c r="Q270" s="1"/>
    </row>
    <row r="271" ht="15.75" customHeight="1">
      <c r="Q271" s="1"/>
    </row>
    <row r="272" ht="15.75" customHeight="1">
      <c r="Q272" s="1"/>
    </row>
    <row r="273" ht="15.75" customHeight="1">
      <c r="Q273" s="1"/>
    </row>
    <row r="274" ht="15.75" customHeight="1">
      <c r="Q274" s="1"/>
    </row>
    <row r="275" ht="15.75" customHeight="1">
      <c r="Q275" s="1"/>
    </row>
    <row r="276" ht="15.75" customHeight="1">
      <c r="Q276" s="1"/>
    </row>
    <row r="277" ht="15.75" customHeight="1">
      <c r="Q277" s="1"/>
    </row>
    <row r="278" ht="15.75" customHeight="1">
      <c r="Q278" s="1"/>
    </row>
    <row r="279" ht="15.75" customHeight="1">
      <c r="Q279" s="1"/>
    </row>
    <row r="280" ht="15.75" customHeight="1">
      <c r="Q280" s="1"/>
    </row>
    <row r="281" ht="15.75" customHeight="1">
      <c r="Q281" s="1"/>
    </row>
    <row r="282" ht="15.75" customHeight="1">
      <c r="Q282" s="1"/>
    </row>
    <row r="283" ht="15.75" customHeight="1">
      <c r="Q283" s="1"/>
    </row>
    <row r="284" ht="15.75" customHeight="1">
      <c r="Q284" s="1"/>
    </row>
    <row r="285" ht="15.75" customHeight="1">
      <c r="Q285" s="1"/>
    </row>
    <row r="286" ht="15.75" customHeight="1">
      <c r="Q286" s="1"/>
    </row>
    <row r="287" ht="15.75" customHeight="1">
      <c r="Q287" s="1"/>
    </row>
    <row r="288" ht="15.75" customHeight="1">
      <c r="Q288" s="1"/>
    </row>
    <row r="289" ht="15.75" customHeight="1">
      <c r="Q289" s="1"/>
    </row>
    <row r="290" ht="15.75" customHeight="1">
      <c r="Q290" s="1"/>
    </row>
    <row r="291" ht="15.75" customHeight="1">
      <c r="Q291" s="1"/>
    </row>
    <row r="292" ht="15.75" customHeight="1">
      <c r="Q292" s="1"/>
    </row>
    <row r="293" ht="15.75" customHeight="1">
      <c r="Q293" s="1"/>
    </row>
    <row r="294" ht="15.75" customHeight="1">
      <c r="Q294" s="1"/>
    </row>
    <row r="295" ht="15.75" customHeight="1">
      <c r="Q295" s="1"/>
    </row>
    <row r="296" ht="15.75" customHeight="1">
      <c r="Q296" s="1"/>
    </row>
    <row r="297" ht="15.75" customHeight="1">
      <c r="Q297" s="1"/>
    </row>
    <row r="298" ht="15.75" customHeight="1">
      <c r="Q298" s="1"/>
    </row>
    <row r="299" ht="15.75" customHeight="1">
      <c r="Q299" s="1"/>
    </row>
    <row r="300" ht="15.75" customHeight="1">
      <c r="Q300" s="1"/>
    </row>
    <row r="301" ht="15.75" customHeight="1">
      <c r="Q301" s="1"/>
    </row>
    <row r="302" ht="15.75" customHeight="1">
      <c r="Q302" s="1"/>
    </row>
    <row r="303" ht="15.75" customHeight="1">
      <c r="Q303" s="1"/>
    </row>
    <row r="304" ht="15.75" customHeight="1">
      <c r="Q304" s="1"/>
    </row>
    <row r="305" ht="15.75" customHeight="1">
      <c r="Q305" s="1"/>
    </row>
    <row r="306" ht="15.75" customHeight="1">
      <c r="Q306" s="1"/>
    </row>
    <row r="307" ht="15.75" customHeight="1">
      <c r="Q307" s="1"/>
    </row>
    <row r="308" ht="15.75" customHeight="1">
      <c r="Q308" s="1"/>
    </row>
    <row r="309" ht="15.75" customHeight="1">
      <c r="Q309" s="1"/>
    </row>
    <row r="310" ht="15.75" customHeight="1">
      <c r="Q310" s="1"/>
    </row>
    <row r="311" ht="15.75" customHeight="1">
      <c r="Q311" s="1"/>
    </row>
    <row r="312" ht="15.75" customHeight="1">
      <c r="Q312" s="1"/>
    </row>
    <row r="313" ht="15.75" customHeight="1">
      <c r="Q313" s="1"/>
    </row>
    <row r="314" ht="15.75" customHeight="1">
      <c r="Q314" s="1"/>
    </row>
    <row r="315" ht="15.75" customHeight="1">
      <c r="Q315" s="1"/>
    </row>
    <row r="316" ht="15.75" customHeight="1">
      <c r="Q316" s="1"/>
    </row>
    <row r="317" ht="15.75" customHeight="1">
      <c r="Q317" s="1"/>
    </row>
    <row r="318" ht="15.75" customHeight="1">
      <c r="Q318" s="1"/>
    </row>
    <row r="319" ht="15.75" customHeight="1">
      <c r="Q319" s="1"/>
    </row>
    <row r="320" ht="15.75" customHeight="1">
      <c r="Q320" s="1"/>
    </row>
    <row r="321" ht="15.75" customHeight="1">
      <c r="Q321" s="1"/>
    </row>
    <row r="322" ht="15.75" customHeight="1">
      <c r="Q322" s="1"/>
    </row>
    <row r="323" ht="15.75" customHeight="1">
      <c r="Q323" s="1"/>
    </row>
    <row r="324" ht="15.75" customHeight="1">
      <c r="Q324" s="1"/>
    </row>
    <row r="325" ht="15.75" customHeight="1">
      <c r="Q325" s="1"/>
    </row>
    <row r="326" ht="15.75" customHeight="1">
      <c r="Q326" s="1"/>
    </row>
    <row r="327" ht="15.75" customHeight="1">
      <c r="Q327" s="1"/>
    </row>
    <row r="328" ht="15.75" customHeight="1">
      <c r="Q328" s="1"/>
    </row>
    <row r="329" ht="15.75" customHeight="1">
      <c r="Q329" s="1"/>
    </row>
    <row r="330" ht="15.75" customHeight="1">
      <c r="Q330" s="1"/>
    </row>
    <row r="331" ht="15.75" customHeight="1">
      <c r="Q331" s="1"/>
    </row>
    <row r="332" ht="15.75" customHeight="1">
      <c r="Q332" s="1"/>
    </row>
    <row r="333" ht="15.75" customHeight="1">
      <c r="Q333" s="1"/>
    </row>
    <row r="334" ht="15.75" customHeight="1">
      <c r="Q334" s="1"/>
    </row>
    <row r="335" ht="15.75" customHeight="1">
      <c r="Q335" s="1"/>
    </row>
    <row r="336" ht="15.75" customHeight="1">
      <c r="Q336" s="1"/>
    </row>
    <row r="337" ht="15.75" customHeight="1">
      <c r="Q337" s="1"/>
    </row>
    <row r="338" ht="15.75" customHeight="1">
      <c r="Q338" s="1"/>
    </row>
    <row r="339" ht="15.75" customHeight="1">
      <c r="Q339" s="1"/>
    </row>
    <row r="340" ht="15.75" customHeight="1">
      <c r="Q340" s="1"/>
    </row>
    <row r="341" ht="15.75" customHeight="1">
      <c r="Q341" s="1"/>
    </row>
    <row r="342" ht="15.75" customHeight="1">
      <c r="Q342" s="1"/>
    </row>
    <row r="343" ht="15.75" customHeight="1">
      <c r="Q343" s="1"/>
    </row>
    <row r="344" ht="15.75" customHeight="1">
      <c r="Q344" s="1"/>
    </row>
    <row r="345" ht="15.75" customHeight="1">
      <c r="Q345" s="1"/>
    </row>
    <row r="346" ht="15.75" customHeight="1">
      <c r="Q346" s="1"/>
    </row>
    <row r="347" ht="15.75" customHeight="1">
      <c r="Q347" s="1"/>
    </row>
    <row r="348" ht="15.75" customHeight="1">
      <c r="Q348" s="1"/>
    </row>
    <row r="349" ht="15.75" customHeight="1">
      <c r="Q349" s="1"/>
    </row>
    <row r="350" ht="15.75" customHeight="1">
      <c r="Q350" s="1"/>
    </row>
    <row r="351" ht="15.75" customHeight="1">
      <c r="Q351" s="1"/>
    </row>
    <row r="352" ht="15.75" customHeight="1">
      <c r="Q352" s="1"/>
    </row>
    <row r="353" ht="15.75" customHeight="1">
      <c r="Q353" s="1"/>
    </row>
    <row r="354" ht="15.75" customHeight="1">
      <c r="Q354" s="1"/>
    </row>
    <row r="355" ht="15.75" customHeight="1">
      <c r="Q355" s="1"/>
    </row>
    <row r="356" ht="15.75" customHeight="1">
      <c r="Q356" s="1"/>
    </row>
    <row r="357" ht="15.75" customHeight="1">
      <c r="Q357" s="1"/>
    </row>
    <row r="358" ht="15.75" customHeight="1">
      <c r="Q358" s="1"/>
    </row>
    <row r="359" ht="15.75" customHeight="1">
      <c r="Q359" s="1"/>
    </row>
    <row r="360" ht="15.75" customHeight="1">
      <c r="Q360" s="1"/>
    </row>
    <row r="361" ht="15.75" customHeight="1">
      <c r="Q361" s="1"/>
    </row>
    <row r="362" ht="15.75" customHeight="1">
      <c r="Q362" s="1"/>
    </row>
    <row r="363" ht="15.75" customHeight="1">
      <c r="Q363" s="1"/>
    </row>
    <row r="364" ht="15.75" customHeight="1">
      <c r="Q364" s="1"/>
    </row>
    <row r="365" ht="15.75" customHeight="1">
      <c r="Q365" s="1"/>
    </row>
    <row r="366" ht="15.75" customHeight="1">
      <c r="Q366" s="1"/>
    </row>
    <row r="367" ht="15.75" customHeight="1">
      <c r="Q367" s="1"/>
    </row>
    <row r="368" ht="15.75" customHeight="1">
      <c r="Q368" s="1"/>
    </row>
    <row r="369" ht="15.75" customHeight="1">
      <c r="Q369" s="1"/>
    </row>
    <row r="370" ht="15.75" customHeight="1">
      <c r="Q370" s="1"/>
    </row>
    <row r="371" ht="15.75" customHeight="1">
      <c r="Q371" s="1"/>
    </row>
    <row r="372" ht="15.75" customHeight="1">
      <c r="Q372" s="1"/>
    </row>
    <row r="373" ht="15.75" customHeight="1">
      <c r="Q373" s="1"/>
    </row>
    <row r="374" ht="15.75" customHeight="1">
      <c r="Q374" s="1"/>
    </row>
    <row r="375" ht="15.75" customHeight="1">
      <c r="Q375" s="1"/>
    </row>
    <row r="376" ht="15.75" customHeight="1">
      <c r="Q376" s="1"/>
    </row>
    <row r="377" ht="15.75" customHeight="1">
      <c r="Q377" s="1"/>
    </row>
    <row r="378" ht="15.75" customHeight="1">
      <c r="Q378" s="1"/>
    </row>
    <row r="379" ht="15.75" customHeight="1">
      <c r="Q379" s="1"/>
    </row>
    <row r="380" ht="15.75" customHeight="1">
      <c r="Q380" s="1"/>
    </row>
    <row r="381" ht="15.75" customHeight="1">
      <c r="Q381" s="1"/>
    </row>
    <row r="382" ht="15.75" customHeight="1">
      <c r="Q382" s="1"/>
    </row>
    <row r="383" ht="15.75" customHeight="1">
      <c r="Q383" s="1"/>
    </row>
    <row r="384" ht="15.75" customHeight="1">
      <c r="Q384" s="1"/>
    </row>
    <row r="385" ht="15.75" customHeight="1">
      <c r="Q385" s="1"/>
    </row>
    <row r="386" ht="15.75" customHeight="1">
      <c r="Q386" s="1"/>
    </row>
    <row r="387" ht="15.75" customHeight="1">
      <c r="Q387" s="1"/>
    </row>
    <row r="388" ht="15.75" customHeight="1">
      <c r="Q388" s="1"/>
    </row>
    <row r="389" ht="15.75" customHeight="1">
      <c r="Q389" s="1"/>
    </row>
    <row r="390" ht="15.75" customHeight="1">
      <c r="Q390" s="1"/>
    </row>
    <row r="391" ht="15.75" customHeight="1">
      <c r="Q391" s="1"/>
    </row>
    <row r="392" ht="15.75" customHeight="1">
      <c r="Q392" s="1"/>
    </row>
    <row r="393" ht="15.75" customHeight="1">
      <c r="Q393" s="1"/>
    </row>
    <row r="394" ht="15.75" customHeight="1">
      <c r="Q394" s="1"/>
    </row>
    <row r="395" ht="15.75" customHeight="1">
      <c r="Q395" s="1"/>
    </row>
    <row r="396" ht="15.75" customHeight="1">
      <c r="Q396" s="1"/>
    </row>
    <row r="397" ht="15.75" customHeight="1">
      <c r="Q397" s="1"/>
    </row>
    <row r="398" ht="15.75" customHeight="1">
      <c r="Q398" s="1"/>
    </row>
    <row r="399" ht="15.75" customHeight="1">
      <c r="Q399" s="1"/>
    </row>
    <row r="400" ht="15.75" customHeight="1">
      <c r="Q400" s="1"/>
    </row>
    <row r="401" ht="15.75" customHeight="1">
      <c r="Q401" s="1"/>
    </row>
    <row r="402" ht="15.75" customHeight="1">
      <c r="Q402" s="1"/>
    </row>
    <row r="403" ht="15.75" customHeight="1">
      <c r="Q403" s="1"/>
    </row>
    <row r="404" ht="15.75" customHeight="1">
      <c r="Q404" s="1"/>
    </row>
    <row r="405" ht="15.75" customHeight="1">
      <c r="Q405" s="1"/>
    </row>
    <row r="406" ht="15.75" customHeight="1">
      <c r="Q406" s="1"/>
    </row>
    <row r="407" ht="15.75" customHeight="1">
      <c r="Q407" s="1"/>
    </row>
    <row r="408" ht="15.75" customHeight="1">
      <c r="Q408" s="1"/>
    </row>
    <row r="409" ht="15.75" customHeight="1">
      <c r="Q409" s="1"/>
    </row>
    <row r="410" ht="15.75" customHeight="1">
      <c r="Q410" s="1"/>
    </row>
    <row r="411" ht="15.75" customHeight="1">
      <c r="Q411" s="1"/>
    </row>
    <row r="412" ht="15.75" customHeight="1">
      <c r="Q412" s="1"/>
    </row>
    <row r="413" ht="15.75" customHeight="1">
      <c r="Q413" s="1"/>
    </row>
    <row r="414" ht="15.75" customHeight="1">
      <c r="Q414" s="1"/>
    </row>
    <row r="415" ht="15.75" customHeight="1">
      <c r="Q415" s="1"/>
    </row>
    <row r="416" ht="15.75" customHeight="1">
      <c r="Q416" s="1"/>
    </row>
    <row r="417" ht="15.75" customHeight="1">
      <c r="Q417" s="1"/>
    </row>
    <row r="418" ht="15.75" customHeight="1">
      <c r="Q418" s="1"/>
    </row>
    <row r="419" ht="15.75" customHeight="1">
      <c r="Q419" s="1"/>
    </row>
    <row r="420" ht="15.75" customHeight="1">
      <c r="Q420" s="1"/>
    </row>
    <row r="421" ht="15.75" customHeight="1">
      <c r="Q421" s="1"/>
    </row>
    <row r="422" ht="15.75" customHeight="1">
      <c r="Q422" s="1"/>
    </row>
    <row r="423" ht="15.75" customHeight="1">
      <c r="Q423" s="1"/>
    </row>
    <row r="424" ht="15.75" customHeight="1">
      <c r="Q424" s="1"/>
    </row>
    <row r="425" ht="15.75" customHeight="1">
      <c r="Q425" s="1"/>
    </row>
    <row r="426" ht="15.75" customHeight="1">
      <c r="Q426" s="1"/>
    </row>
    <row r="427" ht="15.75" customHeight="1">
      <c r="Q427" s="1"/>
    </row>
    <row r="428" ht="15.75" customHeight="1">
      <c r="Q428" s="1"/>
    </row>
    <row r="429" ht="15.75" customHeight="1">
      <c r="Q429" s="1"/>
    </row>
    <row r="430" ht="15.75" customHeight="1">
      <c r="Q430" s="1"/>
    </row>
    <row r="431" ht="15.75" customHeight="1">
      <c r="Q431" s="1"/>
    </row>
    <row r="432" ht="15.75" customHeight="1">
      <c r="Q432" s="1"/>
    </row>
    <row r="433" ht="15.75" customHeight="1">
      <c r="Q433" s="1"/>
    </row>
    <row r="434" ht="15.75" customHeight="1">
      <c r="Q434" s="1"/>
    </row>
    <row r="435" ht="15.75" customHeight="1">
      <c r="Q435" s="1"/>
    </row>
    <row r="436" ht="15.75" customHeight="1">
      <c r="Q436" s="1"/>
    </row>
    <row r="437" ht="15.75" customHeight="1">
      <c r="Q437" s="1"/>
    </row>
    <row r="438" ht="15.75" customHeight="1">
      <c r="Q438" s="1"/>
    </row>
    <row r="439" ht="15.75" customHeight="1">
      <c r="Q439" s="1"/>
    </row>
    <row r="440" ht="15.75" customHeight="1">
      <c r="Q440" s="1"/>
    </row>
    <row r="441" ht="15.75" customHeight="1">
      <c r="Q441" s="1"/>
    </row>
    <row r="442" ht="15.75" customHeight="1">
      <c r="Q442" s="1"/>
    </row>
    <row r="443" ht="15.75" customHeight="1">
      <c r="Q443" s="1"/>
    </row>
    <row r="444" ht="15.75" customHeight="1">
      <c r="Q444" s="1"/>
    </row>
    <row r="445" ht="15.75" customHeight="1">
      <c r="Q445" s="1"/>
    </row>
    <row r="446" ht="15.75" customHeight="1">
      <c r="Q446" s="1"/>
    </row>
    <row r="447" ht="15.75" customHeight="1">
      <c r="Q447" s="1"/>
    </row>
    <row r="448" ht="15.75" customHeight="1">
      <c r="Q448" s="1"/>
    </row>
    <row r="449" ht="15.75" customHeight="1">
      <c r="Q449" s="1"/>
    </row>
    <row r="450" ht="15.75" customHeight="1">
      <c r="Q450" s="1"/>
    </row>
    <row r="451" ht="15.75" customHeight="1">
      <c r="Q451" s="1"/>
    </row>
    <row r="452" ht="15.75" customHeight="1">
      <c r="Q452" s="1"/>
    </row>
    <row r="453" ht="15.75" customHeight="1">
      <c r="Q453" s="1"/>
    </row>
    <row r="454" ht="15.75" customHeight="1">
      <c r="Q454" s="1"/>
    </row>
    <row r="455" ht="15.75" customHeight="1">
      <c r="Q455" s="1"/>
    </row>
    <row r="456" ht="15.75" customHeight="1">
      <c r="Q456" s="1"/>
    </row>
    <row r="457" ht="15.75" customHeight="1">
      <c r="Q457" s="1"/>
    </row>
    <row r="458" ht="15.75" customHeight="1">
      <c r="Q458" s="1"/>
    </row>
    <row r="459" ht="15.75" customHeight="1">
      <c r="Q459" s="1"/>
    </row>
    <row r="460" ht="15.75" customHeight="1">
      <c r="Q460" s="1"/>
    </row>
    <row r="461" ht="15.75" customHeight="1">
      <c r="Q461" s="1"/>
    </row>
    <row r="462" ht="15.75" customHeight="1">
      <c r="Q462" s="1"/>
    </row>
    <row r="463" ht="15.75" customHeight="1">
      <c r="Q463" s="1"/>
    </row>
    <row r="464" ht="15.75" customHeight="1">
      <c r="Q464" s="1"/>
    </row>
    <row r="465" ht="15.75" customHeight="1">
      <c r="Q465" s="1"/>
    </row>
    <row r="466" ht="15.75" customHeight="1">
      <c r="Q466" s="1"/>
    </row>
    <row r="467" ht="15.75" customHeight="1">
      <c r="Q467" s="1"/>
    </row>
    <row r="468" ht="15.75" customHeight="1">
      <c r="Q468" s="1"/>
    </row>
    <row r="469" ht="15.75" customHeight="1">
      <c r="Q469" s="1"/>
    </row>
    <row r="470" ht="15.75" customHeight="1">
      <c r="Q470" s="1"/>
    </row>
    <row r="471" ht="15.75" customHeight="1">
      <c r="Q471" s="1"/>
    </row>
    <row r="472" ht="15.75" customHeight="1">
      <c r="Q472" s="1"/>
    </row>
    <row r="473" ht="15.75" customHeight="1">
      <c r="Q473" s="1"/>
    </row>
    <row r="474" ht="15.75" customHeight="1">
      <c r="Q474" s="1"/>
    </row>
    <row r="475" ht="15.75" customHeight="1">
      <c r="Q475" s="1"/>
    </row>
    <row r="476" ht="15.75" customHeight="1">
      <c r="Q476" s="1"/>
    </row>
    <row r="477" ht="15.75" customHeight="1">
      <c r="Q477" s="1"/>
    </row>
    <row r="478" ht="15.75" customHeight="1">
      <c r="Q478" s="1"/>
    </row>
    <row r="479" ht="15.75" customHeight="1">
      <c r="Q479" s="1"/>
    </row>
    <row r="480" ht="15.75" customHeight="1">
      <c r="Q480" s="1"/>
    </row>
    <row r="481" ht="15.75" customHeight="1">
      <c r="Q481" s="1"/>
    </row>
    <row r="482" ht="15.75" customHeight="1">
      <c r="Q482" s="1"/>
    </row>
    <row r="483" ht="15.75" customHeight="1">
      <c r="Q483" s="1"/>
    </row>
    <row r="484" ht="15.75" customHeight="1">
      <c r="Q484" s="1"/>
    </row>
    <row r="485" ht="15.75" customHeight="1">
      <c r="Q485" s="1"/>
    </row>
    <row r="486" ht="15.75" customHeight="1">
      <c r="Q486" s="1"/>
    </row>
    <row r="487" ht="15.75" customHeight="1">
      <c r="Q487" s="1"/>
    </row>
    <row r="488" ht="15.75" customHeight="1">
      <c r="Q488" s="1"/>
    </row>
    <row r="489" ht="15.75" customHeight="1">
      <c r="Q489" s="1"/>
    </row>
    <row r="490" ht="15.75" customHeight="1">
      <c r="Q490" s="1"/>
    </row>
    <row r="491" ht="15.75" customHeight="1">
      <c r="Q491" s="1"/>
    </row>
    <row r="492" ht="15.75" customHeight="1">
      <c r="Q492" s="1"/>
    </row>
    <row r="493" ht="15.75" customHeight="1">
      <c r="Q493" s="1"/>
    </row>
    <row r="494" ht="15.75" customHeight="1">
      <c r="Q494" s="1"/>
    </row>
    <row r="495" ht="15.75" customHeight="1">
      <c r="Q495" s="1"/>
    </row>
    <row r="496" ht="15.75" customHeight="1">
      <c r="Q496" s="1"/>
    </row>
    <row r="497" ht="15.75" customHeight="1">
      <c r="Q497" s="1"/>
    </row>
    <row r="498" ht="15.75" customHeight="1">
      <c r="Q498" s="1"/>
    </row>
    <row r="499" ht="15.75" customHeight="1">
      <c r="Q499" s="1"/>
    </row>
    <row r="500" ht="15.75" customHeight="1">
      <c r="Q500" s="1"/>
    </row>
    <row r="501" ht="15.75" customHeight="1">
      <c r="Q501" s="1"/>
    </row>
    <row r="502" ht="15.75" customHeight="1">
      <c r="Q502" s="1"/>
    </row>
    <row r="503" ht="15.75" customHeight="1">
      <c r="Q503" s="1"/>
    </row>
    <row r="504" ht="15.75" customHeight="1">
      <c r="Q504" s="1"/>
    </row>
    <row r="505" ht="15.75" customHeight="1">
      <c r="Q505" s="1"/>
    </row>
    <row r="506" ht="15.75" customHeight="1">
      <c r="Q506" s="1"/>
    </row>
    <row r="507" ht="15.75" customHeight="1">
      <c r="Q507" s="1"/>
    </row>
    <row r="508" ht="15.75" customHeight="1">
      <c r="Q508" s="1"/>
    </row>
    <row r="509" ht="15.75" customHeight="1">
      <c r="Q509" s="1"/>
    </row>
    <row r="510" ht="15.75" customHeight="1">
      <c r="Q510" s="1"/>
    </row>
    <row r="511" ht="15.75" customHeight="1">
      <c r="Q511" s="1"/>
    </row>
    <row r="512" ht="15.75" customHeight="1">
      <c r="Q512" s="1"/>
    </row>
    <row r="513" ht="15.75" customHeight="1">
      <c r="Q513" s="1"/>
    </row>
    <row r="514" ht="15.75" customHeight="1">
      <c r="Q514" s="1"/>
    </row>
    <row r="515" ht="15.75" customHeight="1">
      <c r="Q515" s="1"/>
    </row>
    <row r="516" ht="15.75" customHeight="1">
      <c r="Q516" s="1"/>
    </row>
    <row r="517" ht="15.75" customHeight="1">
      <c r="Q517" s="1"/>
    </row>
    <row r="518" ht="15.75" customHeight="1">
      <c r="Q518" s="1"/>
    </row>
    <row r="519" ht="15.75" customHeight="1">
      <c r="Q519" s="1"/>
    </row>
    <row r="520" ht="15.75" customHeight="1">
      <c r="Q520" s="1"/>
    </row>
    <row r="521" ht="15.75" customHeight="1">
      <c r="Q521" s="1"/>
    </row>
    <row r="522" ht="15.75" customHeight="1">
      <c r="Q522" s="1"/>
    </row>
    <row r="523" ht="15.75" customHeight="1">
      <c r="Q523" s="1"/>
    </row>
    <row r="524" ht="15.75" customHeight="1">
      <c r="Q524" s="1"/>
    </row>
    <row r="525" ht="15.75" customHeight="1">
      <c r="Q525" s="1"/>
    </row>
    <row r="526" ht="15.75" customHeight="1">
      <c r="Q526" s="1"/>
    </row>
    <row r="527" ht="15.75" customHeight="1">
      <c r="Q527" s="1"/>
    </row>
    <row r="528" ht="15.75" customHeight="1">
      <c r="Q528" s="1"/>
    </row>
    <row r="529" ht="15.75" customHeight="1">
      <c r="Q529" s="1"/>
    </row>
    <row r="530" ht="15.75" customHeight="1">
      <c r="Q530" s="1"/>
    </row>
    <row r="531" ht="15.75" customHeight="1">
      <c r="Q531" s="1"/>
    </row>
    <row r="532" ht="15.75" customHeight="1">
      <c r="Q532" s="1"/>
    </row>
    <row r="533" ht="15.75" customHeight="1">
      <c r="Q533" s="1"/>
    </row>
    <row r="534" ht="15.75" customHeight="1">
      <c r="Q534" s="1"/>
    </row>
    <row r="535" ht="15.75" customHeight="1">
      <c r="Q535" s="1"/>
    </row>
    <row r="536" ht="15.75" customHeight="1">
      <c r="Q536" s="1"/>
    </row>
    <row r="537" ht="15.75" customHeight="1">
      <c r="Q537" s="1"/>
    </row>
    <row r="538" ht="15.75" customHeight="1">
      <c r="Q538" s="1"/>
    </row>
    <row r="539" ht="15.75" customHeight="1">
      <c r="Q539" s="1"/>
    </row>
    <row r="540" ht="15.75" customHeight="1">
      <c r="Q540" s="1"/>
    </row>
    <row r="541" ht="15.75" customHeight="1">
      <c r="Q541" s="1"/>
    </row>
    <row r="542" ht="15.75" customHeight="1">
      <c r="Q542" s="1"/>
    </row>
    <row r="543" ht="15.75" customHeight="1">
      <c r="Q543" s="1"/>
    </row>
    <row r="544" ht="15.75" customHeight="1">
      <c r="Q544" s="1"/>
    </row>
    <row r="545" ht="15.75" customHeight="1">
      <c r="Q545" s="1"/>
    </row>
    <row r="546" ht="15.75" customHeight="1">
      <c r="Q546" s="1"/>
    </row>
    <row r="547" ht="15.75" customHeight="1">
      <c r="Q547" s="1"/>
    </row>
    <row r="548" ht="15.75" customHeight="1">
      <c r="Q548" s="1"/>
    </row>
    <row r="549" ht="15.75" customHeight="1">
      <c r="Q549" s="1"/>
    </row>
    <row r="550" ht="15.75" customHeight="1">
      <c r="Q550" s="1"/>
    </row>
    <row r="551" ht="15.75" customHeight="1">
      <c r="Q551" s="1"/>
    </row>
    <row r="552" ht="15.75" customHeight="1">
      <c r="Q552" s="1"/>
    </row>
    <row r="553" ht="15.75" customHeight="1">
      <c r="Q553" s="1"/>
    </row>
    <row r="554" ht="15.75" customHeight="1">
      <c r="Q554" s="1"/>
    </row>
    <row r="555" ht="15.75" customHeight="1">
      <c r="Q555" s="1"/>
    </row>
    <row r="556" ht="15.75" customHeight="1">
      <c r="Q556" s="1"/>
    </row>
    <row r="557" ht="15.75" customHeight="1">
      <c r="Q557" s="1"/>
    </row>
    <row r="558" ht="15.75" customHeight="1">
      <c r="Q558" s="1"/>
    </row>
    <row r="559" ht="15.75" customHeight="1">
      <c r="Q559" s="1"/>
    </row>
    <row r="560" ht="15.75" customHeight="1">
      <c r="Q560" s="1"/>
    </row>
    <row r="561" ht="15.75" customHeight="1">
      <c r="Q561" s="1"/>
    </row>
    <row r="562" ht="15.75" customHeight="1">
      <c r="Q562" s="1"/>
    </row>
    <row r="563" ht="15.75" customHeight="1">
      <c r="Q563" s="1"/>
    </row>
    <row r="564" ht="15.75" customHeight="1">
      <c r="Q564" s="1"/>
    </row>
    <row r="565" ht="15.75" customHeight="1">
      <c r="Q565" s="1"/>
    </row>
    <row r="566" ht="15.75" customHeight="1">
      <c r="Q566" s="1"/>
    </row>
    <row r="567" ht="15.75" customHeight="1">
      <c r="Q567" s="1"/>
    </row>
    <row r="568" ht="15.75" customHeight="1">
      <c r="Q568" s="1"/>
    </row>
    <row r="569" ht="15.75" customHeight="1">
      <c r="Q569" s="1"/>
    </row>
    <row r="570" ht="15.75" customHeight="1">
      <c r="Q570" s="1"/>
    </row>
    <row r="571" ht="15.75" customHeight="1">
      <c r="Q571" s="1"/>
    </row>
    <row r="572" ht="15.75" customHeight="1">
      <c r="Q572" s="1"/>
    </row>
    <row r="573" ht="15.75" customHeight="1">
      <c r="Q573" s="1"/>
    </row>
    <row r="574" ht="15.75" customHeight="1">
      <c r="Q574" s="1"/>
    </row>
    <row r="575" ht="15.75" customHeight="1">
      <c r="Q575" s="1"/>
    </row>
    <row r="576" ht="15.75" customHeight="1">
      <c r="Q576" s="1"/>
    </row>
    <row r="577" ht="15.75" customHeight="1">
      <c r="Q577" s="1"/>
    </row>
    <row r="578" ht="15.75" customHeight="1">
      <c r="Q578" s="1"/>
    </row>
    <row r="579" ht="15.75" customHeight="1">
      <c r="Q579" s="1"/>
    </row>
    <row r="580" ht="15.75" customHeight="1">
      <c r="Q580" s="1"/>
    </row>
    <row r="581" ht="15.75" customHeight="1">
      <c r="Q581" s="1"/>
    </row>
    <row r="582" ht="15.75" customHeight="1">
      <c r="Q582" s="1"/>
    </row>
    <row r="583" ht="15.75" customHeight="1">
      <c r="Q583" s="1"/>
    </row>
    <row r="584" ht="15.75" customHeight="1">
      <c r="Q584" s="1"/>
    </row>
    <row r="585" ht="15.75" customHeight="1">
      <c r="Q585" s="1"/>
    </row>
    <row r="586" ht="15.75" customHeight="1">
      <c r="Q586" s="1"/>
    </row>
    <row r="587" ht="15.75" customHeight="1">
      <c r="Q587" s="1"/>
    </row>
    <row r="588" ht="15.75" customHeight="1">
      <c r="Q588" s="1"/>
    </row>
    <row r="589" ht="15.75" customHeight="1">
      <c r="Q589" s="1"/>
    </row>
    <row r="590" ht="15.75" customHeight="1">
      <c r="Q590" s="1"/>
    </row>
    <row r="591" ht="15.75" customHeight="1">
      <c r="Q591" s="1"/>
    </row>
    <row r="592" ht="15.75" customHeight="1">
      <c r="Q592" s="1"/>
    </row>
    <row r="593" ht="15.75" customHeight="1">
      <c r="Q593" s="1"/>
    </row>
    <row r="594" ht="15.75" customHeight="1">
      <c r="Q594" s="1"/>
    </row>
    <row r="595" ht="15.75" customHeight="1">
      <c r="Q595" s="1"/>
    </row>
    <row r="596" ht="15.75" customHeight="1">
      <c r="Q596" s="1"/>
    </row>
    <row r="597" ht="15.75" customHeight="1">
      <c r="Q597" s="1"/>
    </row>
    <row r="598" ht="15.75" customHeight="1">
      <c r="Q598" s="1"/>
    </row>
    <row r="599" ht="15.75" customHeight="1">
      <c r="Q599" s="1"/>
    </row>
    <row r="600" ht="15.75" customHeight="1">
      <c r="Q600" s="1"/>
    </row>
    <row r="601" ht="15.75" customHeight="1">
      <c r="Q601" s="1"/>
    </row>
    <row r="602" ht="15.75" customHeight="1">
      <c r="Q602" s="1"/>
    </row>
    <row r="603" ht="15.75" customHeight="1">
      <c r="Q603" s="1"/>
    </row>
    <row r="604" ht="15.75" customHeight="1">
      <c r="Q604" s="1"/>
    </row>
    <row r="605" ht="15.75" customHeight="1">
      <c r="Q605" s="1"/>
    </row>
    <row r="606" ht="15.75" customHeight="1">
      <c r="Q606" s="1"/>
    </row>
    <row r="607" ht="15.75" customHeight="1">
      <c r="Q607" s="1"/>
    </row>
    <row r="608" ht="15.75" customHeight="1">
      <c r="Q608" s="1"/>
    </row>
    <row r="609" ht="15.75" customHeight="1">
      <c r="Q609" s="1"/>
    </row>
    <row r="610" ht="15.75" customHeight="1">
      <c r="Q610" s="1"/>
    </row>
    <row r="611" ht="15.75" customHeight="1">
      <c r="Q611" s="1"/>
    </row>
    <row r="612" ht="15.75" customHeight="1">
      <c r="Q612" s="1"/>
    </row>
    <row r="613" ht="15.75" customHeight="1">
      <c r="Q613" s="1"/>
    </row>
    <row r="614" ht="15.75" customHeight="1">
      <c r="Q614" s="1"/>
    </row>
    <row r="615" ht="15.75" customHeight="1">
      <c r="Q615" s="1"/>
    </row>
    <row r="616" ht="15.75" customHeight="1">
      <c r="Q616" s="1"/>
    </row>
    <row r="617" ht="15.75" customHeight="1">
      <c r="Q617" s="1"/>
    </row>
    <row r="618" ht="15.75" customHeight="1">
      <c r="Q618" s="1"/>
    </row>
    <row r="619" ht="15.75" customHeight="1">
      <c r="Q619" s="1"/>
    </row>
    <row r="620" ht="15.75" customHeight="1">
      <c r="Q620" s="1"/>
    </row>
    <row r="621" ht="15.75" customHeight="1">
      <c r="Q621" s="1"/>
    </row>
    <row r="622" ht="15.75" customHeight="1">
      <c r="Q622" s="1"/>
    </row>
    <row r="623" ht="15.75" customHeight="1">
      <c r="Q623" s="1"/>
    </row>
    <row r="624" ht="15.75" customHeight="1">
      <c r="Q624" s="1"/>
    </row>
    <row r="625" ht="15.75" customHeight="1">
      <c r="Q625" s="1"/>
    </row>
    <row r="626" ht="15.75" customHeight="1">
      <c r="Q626" s="1"/>
    </row>
    <row r="627" ht="15.75" customHeight="1">
      <c r="Q627" s="1"/>
    </row>
    <row r="628" ht="15.75" customHeight="1">
      <c r="Q628" s="1"/>
    </row>
    <row r="629" ht="15.75" customHeight="1">
      <c r="Q629" s="1"/>
    </row>
    <row r="630" ht="15.75" customHeight="1">
      <c r="Q630" s="1"/>
    </row>
    <row r="631" ht="15.75" customHeight="1">
      <c r="Q631" s="1"/>
    </row>
    <row r="632" ht="15.75" customHeight="1">
      <c r="Q632" s="1"/>
    </row>
    <row r="633" ht="15.75" customHeight="1">
      <c r="Q633" s="1"/>
    </row>
    <row r="634" ht="15.75" customHeight="1">
      <c r="Q634" s="1"/>
    </row>
    <row r="635" ht="15.75" customHeight="1">
      <c r="Q635" s="1"/>
    </row>
    <row r="636" ht="15.75" customHeight="1">
      <c r="Q636" s="1"/>
    </row>
    <row r="637" ht="15.75" customHeight="1">
      <c r="Q637" s="1"/>
    </row>
    <row r="638" ht="15.75" customHeight="1">
      <c r="Q638" s="1"/>
    </row>
    <row r="639" ht="15.75" customHeight="1">
      <c r="Q639" s="1"/>
    </row>
    <row r="640" ht="15.75" customHeight="1">
      <c r="Q640" s="1"/>
    </row>
    <row r="641" ht="15.75" customHeight="1">
      <c r="Q641" s="1"/>
    </row>
    <row r="642" ht="15.75" customHeight="1">
      <c r="Q642" s="1"/>
    </row>
    <row r="643" ht="15.75" customHeight="1">
      <c r="Q643" s="1"/>
    </row>
    <row r="644" ht="15.75" customHeight="1">
      <c r="Q644" s="1"/>
    </row>
    <row r="645" ht="15.75" customHeight="1">
      <c r="Q645" s="1"/>
    </row>
    <row r="646" ht="15.75" customHeight="1">
      <c r="Q646" s="1"/>
    </row>
    <row r="647" ht="15.75" customHeight="1">
      <c r="Q647" s="1"/>
    </row>
    <row r="648" ht="15.75" customHeight="1">
      <c r="Q648" s="1"/>
    </row>
    <row r="649" ht="15.75" customHeight="1">
      <c r="Q649" s="1"/>
    </row>
    <row r="650" ht="15.75" customHeight="1">
      <c r="Q650" s="1"/>
    </row>
    <row r="651" ht="15.75" customHeight="1">
      <c r="Q651" s="1"/>
    </row>
    <row r="652" ht="15.75" customHeight="1">
      <c r="Q652" s="1"/>
    </row>
    <row r="653" ht="15.75" customHeight="1">
      <c r="Q653" s="1"/>
    </row>
    <row r="654" ht="15.75" customHeight="1">
      <c r="Q654" s="1"/>
    </row>
    <row r="655" ht="15.75" customHeight="1">
      <c r="Q655" s="1"/>
    </row>
    <row r="656" ht="15.75" customHeight="1">
      <c r="Q656" s="1"/>
    </row>
    <row r="657" ht="15.75" customHeight="1">
      <c r="Q657" s="1"/>
    </row>
    <row r="658" ht="15.75" customHeight="1">
      <c r="Q658" s="1"/>
    </row>
    <row r="659" ht="15.75" customHeight="1">
      <c r="Q659" s="1"/>
    </row>
    <row r="660" ht="15.75" customHeight="1">
      <c r="Q660" s="1"/>
    </row>
    <row r="661" ht="15.75" customHeight="1">
      <c r="Q661" s="1"/>
    </row>
    <row r="662" ht="15.75" customHeight="1">
      <c r="Q662" s="1"/>
    </row>
    <row r="663" ht="15.75" customHeight="1">
      <c r="Q663" s="1"/>
    </row>
    <row r="664" ht="15.75" customHeight="1">
      <c r="Q664" s="1"/>
    </row>
    <row r="665" ht="15.75" customHeight="1">
      <c r="Q665" s="1"/>
    </row>
    <row r="666" ht="15.75" customHeight="1">
      <c r="Q666" s="1"/>
    </row>
    <row r="667" ht="15.75" customHeight="1">
      <c r="Q667" s="1"/>
    </row>
    <row r="668" ht="15.75" customHeight="1">
      <c r="Q668" s="1"/>
    </row>
    <row r="669" ht="15.75" customHeight="1">
      <c r="Q669" s="1"/>
    </row>
    <row r="670" ht="15.75" customHeight="1">
      <c r="Q670" s="1"/>
    </row>
    <row r="671" ht="15.75" customHeight="1">
      <c r="Q671" s="1"/>
    </row>
    <row r="672" ht="15.75" customHeight="1">
      <c r="Q672" s="1"/>
    </row>
    <row r="673" ht="15.75" customHeight="1">
      <c r="Q673" s="1"/>
    </row>
    <row r="674" ht="15.75" customHeight="1">
      <c r="Q674" s="1"/>
    </row>
    <row r="675" ht="15.75" customHeight="1">
      <c r="Q675" s="1"/>
    </row>
    <row r="676" ht="15.75" customHeight="1">
      <c r="Q676" s="1"/>
    </row>
    <row r="677" ht="15.75" customHeight="1">
      <c r="Q677" s="1"/>
    </row>
    <row r="678" ht="15.75" customHeight="1">
      <c r="Q678" s="1"/>
    </row>
    <row r="679" ht="15.75" customHeight="1">
      <c r="Q679" s="1"/>
    </row>
    <row r="680" ht="15.75" customHeight="1">
      <c r="Q680" s="1"/>
    </row>
    <row r="681" ht="15.75" customHeight="1">
      <c r="Q681" s="1"/>
    </row>
    <row r="682" ht="15.75" customHeight="1">
      <c r="Q682" s="1"/>
    </row>
    <row r="683" ht="15.75" customHeight="1">
      <c r="Q683" s="1"/>
    </row>
    <row r="684" ht="15.75" customHeight="1">
      <c r="Q684" s="1"/>
    </row>
    <row r="685" ht="15.75" customHeight="1">
      <c r="Q685" s="1"/>
    </row>
    <row r="686" ht="15.75" customHeight="1">
      <c r="Q686" s="1"/>
    </row>
    <row r="687" ht="15.75" customHeight="1">
      <c r="Q687" s="1"/>
    </row>
    <row r="688" ht="15.75" customHeight="1">
      <c r="Q688" s="1"/>
    </row>
    <row r="689" ht="15.75" customHeight="1">
      <c r="Q689" s="1"/>
    </row>
    <row r="690" ht="15.75" customHeight="1">
      <c r="Q690" s="1"/>
    </row>
    <row r="691" ht="15.75" customHeight="1">
      <c r="Q691" s="1"/>
    </row>
    <row r="692" ht="15.75" customHeight="1">
      <c r="Q692" s="1"/>
    </row>
    <row r="693" ht="15.75" customHeight="1">
      <c r="Q693" s="1"/>
    </row>
    <row r="694" ht="15.75" customHeight="1">
      <c r="Q694" s="1"/>
    </row>
    <row r="695" ht="15.75" customHeight="1">
      <c r="Q695" s="1"/>
    </row>
    <row r="696" ht="15.75" customHeight="1">
      <c r="Q696" s="1"/>
    </row>
    <row r="697" ht="15.75" customHeight="1">
      <c r="Q697" s="1"/>
    </row>
    <row r="698" ht="15.75" customHeight="1">
      <c r="Q698" s="1"/>
    </row>
    <row r="699" ht="15.75" customHeight="1">
      <c r="Q699" s="1"/>
    </row>
    <row r="700" ht="15.75" customHeight="1">
      <c r="Q700" s="1"/>
    </row>
    <row r="701" ht="15.75" customHeight="1">
      <c r="Q701" s="1"/>
    </row>
    <row r="702" ht="15.75" customHeight="1">
      <c r="Q702" s="1"/>
    </row>
    <row r="703" ht="15.75" customHeight="1">
      <c r="Q703" s="1"/>
    </row>
    <row r="704" ht="15.75" customHeight="1">
      <c r="Q704" s="1"/>
    </row>
    <row r="705" ht="15.75" customHeight="1">
      <c r="Q705" s="1"/>
    </row>
    <row r="706" ht="15.75" customHeight="1">
      <c r="Q706" s="1"/>
    </row>
    <row r="707" ht="15.75" customHeight="1">
      <c r="Q707" s="1"/>
    </row>
    <row r="708" ht="15.75" customHeight="1">
      <c r="Q708" s="1"/>
    </row>
    <row r="709" ht="15.75" customHeight="1">
      <c r="Q709" s="1"/>
    </row>
    <row r="710" ht="15.75" customHeight="1">
      <c r="Q710" s="1"/>
    </row>
    <row r="711" ht="15.75" customHeight="1">
      <c r="Q711" s="1"/>
    </row>
    <row r="712" ht="15.75" customHeight="1">
      <c r="Q712" s="1"/>
    </row>
    <row r="713" ht="15.75" customHeight="1">
      <c r="Q713" s="1"/>
    </row>
    <row r="714" ht="15.75" customHeight="1">
      <c r="Q714" s="1"/>
    </row>
    <row r="715" ht="15.75" customHeight="1">
      <c r="Q715" s="1"/>
    </row>
    <row r="716" ht="15.75" customHeight="1">
      <c r="Q716" s="1"/>
    </row>
    <row r="717" ht="15.75" customHeight="1">
      <c r="Q717" s="1"/>
    </row>
    <row r="718" ht="15.75" customHeight="1">
      <c r="Q718" s="1"/>
    </row>
    <row r="719" ht="15.75" customHeight="1">
      <c r="Q719" s="1"/>
    </row>
    <row r="720" ht="15.75" customHeight="1">
      <c r="Q720" s="1"/>
    </row>
    <row r="721" ht="15.75" customHeight="1">
      <c r="Q721" s="1"/>
    </row>
    <row r="722" ht="15.75" customHeight="1">
      <c r="Q722" s="1"/>
    </row>
    <row r="723" ht="15.75" customHeight="1">
      <c r="Q723" s="1"/>
    </row>
    <row r="724" ht="15.75" customHeight="1">
      <c r="Q724" s="1"/>
    </row>
    <row r="725" ht="15.75" customHeight="1">
      <c r="Q725" s="1"/>
    </row>
    <row r="726" ht="15.75" customHeight="1">
      <c r="Q726" s="1"/>
    </row>
    <row r="727" ht="15.75" customHeight="1">
      <c r="Q727" s="1"/>
    </row>
    <row r="728" ht="15.75" customHeight="1">
      <c r="Q728" s="1"/>
    </row>
    <row r="729" ht="15.75" customHeight="1">
      <c r="Q729" s="1"/>
    </row>
    <row r="730" ht="15.75" customHeight="1">
      <c r="Q730" s="1"/>
    </row>
    <row r="731" ht="15.75" customHeight="1">
      <c r="Q731" s="1"/>
    </row>
    <row r="732" ht="15.75" customHeight="1">
      <c r="Q732" s="1"/>
    </row>
    <row r="733" ht="15.75" customHeight="1">
      <c r="Q733" s="1"/>
    </row>
    <row r="734" ht="15.75" customHeight="1">
      <c r="Q734" s="1"/>
    </row>
    <row r="735" ht="15.75" customHeight="1">
      <c r="Q735" s="1"/>
    </row>
    <row r="736" ht="15.75" customHeight="1">
      <c r="Q736" s="1"/>
    </row>
    <row r="737" ht="15.75" customHeight="1">
      <c r="Q737" s="1"/>
    </row>
    <row r="738" ht="15.75" customHeight="1">
      <c r="Q738" s="1"/>
    </row>
    <row r="739" ht="15.75" customHeight="1">
      <c r="Q739" s="1"/>
    </row>
    <row r="740" ht="15.75" customHeight="1">
      <c r="Q740" s="1"/>
    </row>
    <row r="741" ht="15.75" customHeight="1">
      <c r="Q741" s="1"/>
    </row>
    <row r="742" ht="15.75" customHeight="1">
      <c r="Q742" s="1"/>
    </row>
    <row r="743" ht="15.75" customHeight="1">
      <c r="Q743" s="1"/>
    </row>
    <row r="744" ht="15.75" customHeight="1">
      <c r="Q744" s="1"/>
    </row>
    <row r="745" ht="15.75" customHeight="1">
      <c r="Q745" s="1"/>
    </row>
    <row r="746" ht="15.75" customHeight="1">
      <c r="Q746" s="1"/>
    </row>
    <row r="747" ht="15.75" customHeight="1">
      <c r="Q747" s="1"/>
    </row>
    <row r="748" ht="15.75" customHeight="1">
      <c r="Q748" s="1"/>
    </row>
    <row r="749" ht="15.75" customHeight="1">
      <c r="Q749" s="1"/>
    </row>
    <row r="750" ht="15.75" customHeight="1">
      <c r="Q750" s="1"/>
    </row>
    <row r="751" ht="15.75" customHeight="1">
      <c r="Q751" s="1"/>
    </row>
    <row r="752" ht="15.75" customHeight="1">
      <c r="Q752" s="1"/>
    </row>
    <row r="753" ht="15.75" customHeight="1">
      <c r="Q753" s="1"/>
    </row>
    <row r="754" ht="15.75" customHeight="1">
      <c r="Q754" s="1"/>
    </row>
    <row r="755" ht="15.75" customHeight="1">
      <c r="Q755" s="1"/>
    </row>
    <row r="756" ht="15.75" customHeight="1">
      <c r="Q756" s="1"/>
    </row>
    <row r="757" ht="15.75" customHeight="1">
      <c r="Q757" s="1"/>
    </row>
    <row r="758" ht="15.75" customHeight="1">
      <c r="Q758" s="1"/>
    </row>
    <row r="759" ht="15.75" customHeight="1">
      <c r="Q759" s="1"/>
    </row>
    <row r="760" ht="15.75" customHeight="1">
      <c r="Q760" s="1"/>
    </row>
    <row r="761" ht="15.75" customHeight="1">
      <c r="Q761" s="1"/>
    </row>
    <row r="762" ht="15.75" customHeight="1">
      <c r="Q762" s="1"/>
    </row>
    <row r="763" ht="15.75" customHeight="1">
      <c r="Q763" s="1"/>
    </row>
    <row r="764" ht="15.75" customHeight="1">
      <c r="Q764" s="1"/>
    </row>
    <row r="765" ht="15.75" customHeight="1">
      <c r="Q765" s="1"/>
    </row>
    <row r="766" ht="15.75" customHeight="1">
      <c r="Q766" s="1"/>
    </row>
    <row r="767" ht="15.75" customHeight="1">
      <c r="Q767" s="1"/>
    </row>
    <row r="768" ht="15.75" customHeight="1">
      <c r="Q768" s="1"/>
    </row>
    <row r="769" ht="15.75" customHeight="1">
      <c r="Q769" s="1"/>
    </row>
    <row r="770" ht="15.75" customHeight="1">
      <c r="Q770" s="1"/>
    </row>
    <row r="771" ht="15.75" customHeight="1">
      <c r="Q771" s="1"/>
    </row>
    <row r="772" ht="15.75" customHeight="1">
      <c r="Q772" s="1"/>
    </row>
    <row r="773" ht="15.75" customHeight="1">
      <c r="Q773" s="1"/>
    </row>
    <row r="774" ht="15.75" customHeight="1">
      <c r="Q774" s="1"/>
    </row>
    <row r="775" ht="15.75" customHeight="1">
      <c r="Q775" s="1"/>
    </row>
    <row r="776" ht="15.75" customHeight="1">
      <c r="Q776" s="1"/>
    </row>
    <row r="777" ht="15.75" customHeight="1">
      <c r="Q777" s="1"/>
    </row>
    <row r="778" ht="15.75" customHeight="1">
      <c r="Q778" s="1"/>
    </row>
    <row r="779" ht="15.75" customHeight="1">
      <c r="Q779" s="1"/>
    </row>
    <row r="780" ht="15.75" customHeight="1">
      <c r="Q780" s="1"/>
    </row>
    <row r="781" ht="15.75" customHeight="1">
      <c r="Q781" s="1"/>
    </row>
    <row r="782" ht="15.75" customHeight="1">
      <c r="Q782" s="1"/>
    </row>
    <row r="783" ht="15.75" customHeight="1">
      <c r="Q783" s="1"/>
    </row>
    <row r="784" ht="15.75" customHeight="1">
      <c r="Q784" s="1"/>
    </row>
    <row r="785" ht="15.75" customHeight="1">
      <c r="Q785" s="1"/>
    </row>
    <row r="786" ht="15.75" customHeight="1">
      <c r="Q786" s="1"/>
    </row>
    <row r="787" ht="15.75" customHeight="1">
      <c r="Q787" s="1"/>
    </row>
    <row r="788" ht="15.75" customHeight="1">
      <c r="Q788" s="1"/>
    </row>
    <row r="789" ht="15.75" customHeight="1">
      <c r="Q789" s="1"/>
    </row>
    <row r="790" ht="15.75" customHeight="1">
      <c r="Q790" s="1"/>
    </row>
    <row r="791" ht="15.75" customHeight="1">
      <c r="Q791" s="1"/>
    </row>
    <row r="792" ht="15.75" customHeight="1">
      <c r="Q792" s="1"/>
    </row>
    <row r="793" ht="15.75" customHeight="1">
      <c r="Q793" s="1"/>
    </row>
    <row r="794" ht="15.75" customHeight="1">
      <c r="Q794" s="1"/>
    </row>
    <row r="795" ht="15.75" customHeight="1">
      <c r="Q795" s="1"/>
    </row>
    <row r="796" ht="15.75" customHeight="1">
      <c r="Q796" s="1"/>
    </row>
    <row r="797" ht="15.75" customHeight="1">
      <c r="Q797" s="1"/>
    </row>
    <row r="798" ht="15.75" customHeight="1">
      <c r="Q798" s="1"/>
    </row>
    <row r="799" ht="15.75" customHeight="1">
      <c r="Q799" s="1"/>
    </row>
    <row r="800" ht="15.75" customHeight="1">
      <c r="Q800" s="1"/>
    </row>
    <row r="801" ht="15.75" customHeight="1">
      <c r="Q801" s="1"/>
    </row>
    <row r="802" ht="15.75" customHeight="1">
      <c r="Q802" s="1"/>
    </row>
    <row r="803" ht="15.75" customHeight="1">
      <c r="Q803" s="1"/>
    </row>
    <row r="804" ht="15.75" customHeight="1">
      <c r="Q804" s="1"/>
    </row>
    <row r="805" ht="15.75" customHeight="1">
      <c r="Q805" s="1"/>
    </row>
    <row r="806" ht="15.75" customHeight="1">
      <c r="Q806" s="1"/>
    </row>
    <row r="807" ht="15.75" customHeight="1">
      <c r="Q807" s="1"/>
    </row>
    <row r="808" ht="15.75" customHeight="1">
      <c r="Q808" s="1"/>
    </row>
    <row r="809" ht="15.75" customHeight="1">
      <c r="Q809" s="1"/>
    </row>
    <row r="810" ht="15.75" customHeight="1">
      <c r="Q810" s="1"/>
    </row>
    <row r="811" ht="15.75" customHeight="1">
      <c r="Q811" s="1"/>
    </row>
    <row r="812" ht="15.75" customHeight="1">
      <c r="Q812" s="1"/>
    </row>
    <row r="813" ht="15.75" customHeight="1">
      <c r="Q813" s="1"/>
    </row>
    <row r="814" ht="15.75" customHeight="1">
      <c r="Q814" s="1"/>
    </row>
    <row r="815" ht="15.75" customHeight="1">
      <c r="Q815" s="1"/>
    </row>
    <row r="816" ht="15.75" customHeight="1">
      <c r="Q816" s="1"/>
    </row>
    <row r="817" ht="15.75" customHeight="1">
      <c r="Q817" s="1"/>
    </row>
    <row r="818" ht="15.75" customHeight="1">
      <c r="Q818" s="1"/>
    </row>
    <row r="819" ht="15.75" customHeight="1">
      <c r="Q819" s="1"/>
    </row>
    <row r="820" ht="15.75" customHeight="1">
      <c r="Q820" s="1"/>
    </row>
    <row r="821" ht="15.75" customHeight="1">
      <c r="Q821" s="1"/>
    </row>
    <row r="822" ht="15.75" customHeight="1">
      <c r="Q822" s="1"/>
    </row>
    <row r="823" ht="15.75" customHeight="1">
      <c r="Q823" s="1"/>
    </row>
    <row r="824" ht="15.75" customHeight="1">
      <c r="Q824" s="1"/>
    </row>
    <row r="825" ht="15.75" customHeight="1">
      <c r="Q825" s="1"/>
    </row>
    <row r="826" ht="15.75" customHeight="1">
      <c r="Q826" s="1"/>
    </row>
    <row r="827" ht="15.75" customHeight="1">
      <c r="Q827" s="1"/>
    </row>
    <row r="828" ht="15.75" customHeight="1">
      <c r="Q828" s="1"/>
    </row>
    <row r="829" ht="15.75" customHeight="1">
      <c r="Q829" s="1"/>
    </row>
    <row r="830" ht="15.75" customHeight="1">
      <c r="Q830" s="1"/>
    </row>
    <row r="831" ht="15.75" customHeight="1">
      <c r="Q831" s="1"/>
    </row>
    <row r="832" ht="15.75" customHeight="1">
      <c r="Q832" s="1"/>
    </row>
    <row r="833" ht="15.75" customHeight="1">
      <c r="Q833" s="1"/>
    </row>
    <row r="834" ht="15.75" customHeight="1">
      <c r="Q834" s="1"/>
    </row>
    <row r="835" ht="15.75" customHeight="1">
      <c r="Q835" s="1"/>
    </row>
    <row r="836" ht="15.75" customHeight="1">
      <c r="Q836" s="1"/>
    </row>
    <row r="837" ht="15.75" customHeight="1">
      <c r="Q837" s="1"/>
    </row>
    <row r="838" ht="15.75" customHeight="1">
      <c r="Q838" s="1"/>
    </row>
    <row r="839" ht="15.75" customHeight="1">
      <c r="Q839" s="1"/>
    </row>
    <row r="840" ht="15.75" customHeight="1">
      <c r="Q840" s="1"/>
    </row>
    <row r="841" ht="15.75" customHeight="1">
      <c r="Q841" s="1"/>
    </row>
    <row r="842" ht="15.75" customHeight="1">
      <c r="Q842" s="1"/>
    </row>
    <row r="843" ht="15.75" customHeight="1">
      <c r="Q843" s="1"/>
    </row>
    <row r="844" ht="15.75" customHeight="1">
      <c r="Q844" s="1"/>
    </row>
    <row r="845" ht="15.75" customHeight="1">
      <c r="Q845" s="1"/>
    </row>
    <row r="846" ht="15.75" customHeight="1">
      <c r="Q846" s="1"/>
    </row>
    <row r="847" ht="15.75" customHeight="1">
      <c r="Q847" s="1"/>
    </row>
    <row r="848" ht="15.75" customHeight="1">
      <c r="Q848" s="1"/>
    </row>
    <row r="849" ht="15.75" customHeight="1">
      <c r="Q849" s="1"/>
    </row>
    <row r="850" ht="15.75" customHeight="1">
      <c r="Q850" s="1"/>
    </row>
    <row r="851" ht="15.75" customHeight="1">
      <c r="Q851" s="1"/>
    </row>
    <row r="852" ht="15.75" customHeight="1">
      <c r="Q852" s="1"/>
    </row>
    <row r="853" ht="15.75" customHeight="1">
      <c r="Q853" s="1"/>
    </row>
    <row r="854" ht="15.75" customHeight="1">
      <c r="Q854" s="1"/>
    </row>
    <row r="855" ht="15.75" customHeight="1">
      <c r="Q855" s="1"/>
    </row>
    <row r="856" ht="15.75" customHeight="1">
      <c r="Q856" s="1"/>
    </row>
    <row r="857" ht="15.75" customHeight="1">
      <c r="Q857" s="1"/>
    </row>
    <row r="858" ht="15.75" customHeight="1">
      <c r="Q858" s="1"/>
    </row>
    <row r="859" ht="15.75" customHeight="1">
      <c r="Q859" s="1"/>
    </row>
    <row r="860" ht="15.75" customHeight="1">
      <c r="Q860" s="1"/>
    </row>
    <row r="861" ht="15.75" customHeight="1">
      <c r="Q861" s="1"/>
    </row>
    <row r="862" ht="15.75" customHeight="1">
      <c r="Q862" s="1"/>
    </row>
    <row r="863" ht="15.75" customHeight="1">
      <c r="Q863" s="1"/>
    </row>
    <row r="864" ht="15.75" customHeight="1">
      <c r="Q864" s="1"/>
    </row>
    <row r="865" ht="15.75" customHeight="1">
      <c r="Q865" s="1"/>
    </row>
    <row r="866" ht="15.75" customHeight="1">
      <c r="Q866" s="1"/>
    </row>
    <row r="867" ht="15.75" customHeight="1">
      <c r="Q867" s="1"/>
    </row>
    <row r="868" ht="15.75" customHeight="1">
      <c r="Q868" s="1"/>
    </row>
    <row r="869" ht="15.75" customHeight="1">
      <c r="Q869" s="1"/>
    </row>
    <row r="870" ht="15.75" customHeight="1">
      <c r="Q870" s="1"/>
    </row>
    <row r="871" ht="15.75" customHeight="1">
      <c r="Q871" s="1"/>
    </row>
    <row r="872" ht="15.75" customHeight="1">
      <c r="Q872" s="1"/>
    </row>
    <row r="873" ht="15.75" customHeight="1">
      <c r="Q873" s="1"/>
    </row>
    <row r="874" ht="15.75" customHeight="1">
      <c r="Q874" s="1"/>
    </row>
    <row r="875" ht="15.75" customHeight="1">
      <c r="Q875" s="1"/>
    </row>
    <row r="876" ht="15.75" customHeight="1">
      <c r="Q876" s="1"/>
    </row>
    <row r="877" ht="15.75" customHeight="1">
      <c r="Q877" s="1"/>
    </row>
    <row r="878" ht="15.75" customHeight="1">
      <c r="Q878" s="1"/>
    </row>
    <row r="879" ht="15.75" customHeight="1">
      <c r="Q879" s="1"/>
    </row>
    <row r="880" ht="15.75" customHeight="1">
      <c r="Q880" s="1"/>
    </row>
    <row r="881" ht="15.75" customHeight="1">
      <c r="Q881" s="1"/>
    </row>
    <row r="882" ht="15.75" customHeight="1">
      <c r="Q882" s="1"/>
    </row>
    <row r="883" ht="15.75" customHeight="1">
      <c r="Q883" s="1"/>
    </row>
    <row r="884" ht="15.75" customHeight="1">
      <c r="Q884" s="1"/>
    </row>
    <row r="885" ht="15.75" customHeight="1">
      <c r="Q885" s="1"/>
    </row>
    <row r="886" ht="15.75" customHeight="1">
      <c r="Q886" s="1"/>
    </row>
    <row r="887" ht="15.75" customHeight="1">
      <c r="Q887" s="1"/>
    </row>
    <row r="888" ht="15.75" customHeight="1">
      <c r="Q888" s="1"/>
    </row>
    <row r="889" ht="15.75" customHeight="1">
      <c r="Q889" s="1"/>
    </row>
    <row r="890" ht="15.75" customHeight="1">
      <c r="Q890" s="1"/>
    </row>
    <row r="891" ht="15.75" customHeight="1">
      <c r="Q891" s="1"/>
    </row>
    <row r="892" ht="15.75" customHeight="1">
      <c r="Q892" s="1"/>
    </row>
    <row r="893" ht="15.75" customHeight="1">
      <c r="Q893" s="1"/>
    </row>
    <row r="894" ht="15.75" customHeight="1">
      <c r="Q894" s="1"/>
    </row>
    <row r="895" ht="15.75" customHeight="1">
      <c r="Q895" s="1"/>
    </row>
    <row r="896" ht="15.75" customHeight="1">
      <c r="Q896" s="1"/>
    </row>
    <row r="897" ht="15.75" customHeight="1">
      <c r="Q897" s="1"/>
    </row>
    <row r="898" ht="15.75" customHeight="1">
      <c r="Q898" s="1"/>
    </row>
    <row r="899" ht="15.75" customHeight="1">
      <c r="Q899" s="1"/>
    </row>
    <row r="900" ht="15.75" customHeight="1">
      <c r="Q900" s="1"/>
    </row>
    <row r="901" ht="15.75" customHeight="1">
      <c r="Q901" s="1"/>
    </row>
    <row r="902" ht="15.75" customHeight="1">
      <c r="Q902" s="1"/>
    </row>
    <row r="903" ht="15.75" customHeight="1">
      <c r="Q903" s="1"/>
    </row>
    <row r="904" ht="15.75" customHeight="1">
      <c r="Q904" s="1"/>
    </row>
    <row r="905" ht="15.75" customHeight="1">
      <c r="Q905" s="1"/>
    </row>
    <row r="906" ht="15.75" customHeight="1">
      <c r="Q906" s="1"/>
    </row>
    <row r="907" ht="15.75" customHeight="1">
      <c r="Q907" s="1"/>
    </row>
    <row r="908" ht="15.75" customHeight="1">
      <c r="Q908" s="1"/>
    </row>
    <row r="909" ht="15.75" customHeight="1">
      <c r="Q909" s="1"/>
    </row>
    <row r="910" ht="15.75" customHeight="1">
      <c r="Q910" s="1"/>
    </row>
    <row r="911" ht="15.75" customHeight="1">
      <c r="Q911" s="1"/>
    </row>
    <row r="912" ht="15.75" customHeight="1">
      <c r="Q912" s="1"/>
    </row>
    <row r="913" ht="15.75" customHeight="1">
      <c r="Q913" s="1"/>
    </row>
    <row r="914" ht="15.75" customHeight="1">
      <c r="Q914" s="1"/>
    </row>
    <row r="915" ht="15.75" customHeight="1">
      <c r="Q915" s="1"/>
    </row>
    <row r="916" ht="15.75" customHeight="1">
      <c r="Q916" s="1"/>
    </row>
    <row r="917" ht="15.75" customHeight="1">
      <c r="Q917" s="1"/>
    </row>
    <row r="918" ht="15.75" customHeight="1">
      <c r="Q918" s="1"/>
    </row>
    <row r="919" ht="15.75" customHeight="1">
      <c r="Q919" s="1"/>
    </row>
    <row r="920" ht="15.75" customHeight="1">
      <c r="Q920" s="1"/>
    </row>
    <row r="921" ht="15.75" customHeight="1">
      <c r="Q921" s="1"/>
    </row>
    <row r="922" ht="15.75" customHeight="1">
      <c r="Q922" s="1"/>
    </row>
    <row r="923" ht="15.75" customHeight="1">
      <c r="Q923" s="1"/>
    </row>
    <row r="924" ht="15.75" customHeight="1">
      <c r="Q924" s="1"/>
    </row>
    <row r="925" ht="15.75" customHeight="1">
      <c r="Q925" s="1"/>
    </row>
    <row r="926" ht="15.75" customHeight="1">
      <c r="Q926" s="1"/>
    </row>
    <row r="927" ht="15.75" customHeight="1">
      <c r="Q927" s="1"/>
    </row>
    <row r="928" ht="15.75" customHeight="1">
      <c r="Q928" s="1"/>
    </row>
    <row r="929" ht="15.75" customHeight="1">
      <c r="Q929" s="1"/>
    </row>
    <row r="930" ht="15.75" customHeight="1">
      <c r="Q930" s="1"/>
    </row>
    <row r="931" ht="15.75" customHeight="1">
      <c r="Q931" s="1"/>
    </row>
    <row r="932" ht="15.75" customHeight="1">
      <c r="Q932" s="1"/>
    </row>
    <row r="933" ht="15.75" customHeight="1">
      <c r="Q933" s="1"/>
    </row>
    <row r="934" ht="15.75" customHeight="1">
      <c r="Q934" s="1"/>
    </row>
    <row r="935" ht="15.75" customHeight="1">
      <c r="Q935" s="1"/>
    </row>
    <row r="936" ht="15.75" customHeight="1">
      <c r="Q936" s="1"/>
    </row>
    <row r="937" ht="15.75" customHeight="1">
      <c r="Q937" s="1"/>
    </row>
    <row r="938" ht="15.75" customHeight="1">
      <c r="Q938" s="1"/>
    </row>
    <row r="939" ht="15.75" customHeight="1">
      <c r="Q939" s="1"/>
    </row>
    <row r="940" ht="15.75" customHeight="1">
      <c r="Q940" s="1"/>
    </row>
    <row r="941" ht="15.75" customHeight="1">
      <c r="Q941" s="1"/>
    </row>
    <row r="942" ht="15.75" customHeight="1">
      <c r="Q942" s="1"/>
    </row>
    <row r="943" ht="15.75" customHeight="1">
      <c r="Q943" s="1"/>
    </row>
    <row r="944" ht="15.75" customHeight="1">
      <c r="Q944" s="1"/>
    </row>
    <row r="945" ht="15.75" customHeight="1">
      <c r="Q945" s="1"/>
    </row>
    <row r="946" ht="15.75" customHeight="1">
      <c r="Q946" s="1"/>
    </row>
    <row r="947" ht="15.75" customHeight="1">
      <c r="Q947" s="1"/>
    </row>
    <row r="948" ht="15.75" customHeight="1">
      <c r="Q948" s="1"/>
    </row>
    <row r="949" ht="15.75" customHeight="1">
      <c r="Q949" s="1"/>
    </row>
    <row r="950" ht="15.75" customHeight="1">
      <c r="Q950" s="1"/>
    </row>
    <row r="951" ht="15.75" customHeight="1">
      <c r="Q951" s="1"/>
    </row>
    <row r="952" ht="15.75" customHeight="1">
      <c r="Q952" s="1"/>
    </row>
    <row r="953" ht="15.75" customHeight="1">
      <c r="Q953" s="1"/>
    </row>
    <row r="954" ht="15.75" customHeight="1">
      <c r="Q954" s="1"/>
    </row>
    <row r="955" ht="15.75" customHeight="1">
      <c r="Q955" s="1"/>
    </row>
    <row r="956" ht="15.75" customHeight="1">
      <c r="Q956" s="1"/>
    </row>
    <row r="957" ht="15.75" customHeight="1">
      <c r="Q957" s="1"/>
    </row>
    <row r="958" ht="15.75" customHeight="1">
      <c r="Q958" s="1"/>
    </row>
    <row r="959" ht="15.75" customHeight="1">
      <c r="Q959" s="1"/>
    </row>
    <row r="960" ht="15.75" customHeight="1">
      <c r="Q960" s="1"/>
    </row>
    <row r="961" ht="15.75" customHeight="1">
      <c r="Q961" s="1"/>
    </row>
    <row r="962" ht="15.75" customHeight="1">
      <c r="Q962" s="1"/>
    </row>
    <row r="963" ht="15.75" customHeight="1">
      <c r="Q963" s="1"/>
    </row>
    <row r="964" ht="15.75" customHeight="1">
      <c r="Q964" s="1"/>
    </row>
    <row r="965" ht="15.75" customHeight="1">
      <c r="Q965" s="1"/>
    </row>
    <row r="966" ht="15.75" customHeight="1">
      <c r="Q966" s="1"/>
    </row>
    <row r="967" ht="15.75" customHeight="1">
      <c r="Q967" s="1"/>
    </row>
    <row r="968" ht="15.75" customHeight="1">
      <c r="Q968" s="1"/>
    </row>
    <row r="969" ht="15.75" customHeight="1">
      <c r="Q969" s="1"/>
    </row>
    <row r="970" ht="15.75" customHeight="1">
      <c r="Q970" s="1"/>
    </row>
    <row r="971" ht="15.75" customHeight="1">
      <c r="Q971" s="1"/>
    </row>
    <row r="972" ht="15.75" customHeight="1">
      <c r="Q972" s="1"/>
    </row>
    <row r="973" ht="15.75" customHeight="1">
      <c r="Q973" s="1"/>
    </row>
    <row r="974" ht="15.75" customHeight="1">
      <c r="Q974" s="1"/>
    </row>
    <row r="975" ht="15.75" customHeight="1">
      <c r="Q975" s="1"/>
    </row>
    <row r="976" ht="15.75" customHeight="1">
      <c r="Q976" s="1"/>
    </row>
    <row r="977" ht="15.75" customHeight="1">
      <c r="Q977" s="1"/>
    </row>
    <row r="978" ht="15.75" customHeight="1">
      <c r="Q978" s="1"/>
    </row>
    <row r="979" ht="15.75" customHeight="1">
      <c r="Q979" s="1"/>
    </row>
    <row r="980" ht="15.75" customHeight="1">
      <c r="Q980" s="1"/>
    </row>
    <row r="981" ht="15.75" customHeight="1">
      <c r="Q981" s="1"/>
    </row>
    <row r="982" ht="15.75" customHeight="1">
      <c r="Q982" s="1"/>
    </row>
    <row r="983" ht="15.75" customHeight="1">
      <c r="Q983" s="1"/>
    </row>
    <row r="984" ht="15.75" customHeight="1">
      <c r="Q984" s="1"/>
    </row>
    <row r="985" ht="15.75" customHeight="1">
      <c r="Q985" s="1"/>
    </row>
    <row r="986" ht="15.75" customHeight="1">
      <c r="Q986" s="1"/>
    </row>
    <row r="987" ht="15.75" customHeight="1">
      <c r="Q987" s="1"/>
    </row>
    <row r="988" ht="15.75" customHeight="1">
      <c r="Q988" s="1"/>
    </row>
    <row r="989" ht="15.75" customHeight="1">
      <c r="Q989" s="1"/>
    </row>
    <row r="990" ht="15.75" customHeight="1">
      <c r="Q990" s="1"/>
    </row>
    <row r="991" ht="15.75" customHeight="1">
      <c r="Q991" s="1"/>
    </row>
    <row r="992" ht="15.75" customHeight="1">
      <c r="Q992" s="1"/>
    </row>
    <row r="993" ht="15.75" customHeight="1">
      <c r="Q993" s="1"/>
    </row>
    <row r="994" ht="15.75" customHeight="1">
      <c r="Q994" s="1"/>
    </row>
    <row r="995" ht="15.75" customHeight="1">
      <c r="Q995" s="1"/>
    </row>
    <row r="996" ht="15.75" customHeight="1">
      <c r="Q996" s="1"/>
    </row>
    <row r="997" ht="15.75" customHeight="1">
      <c r="Q997" s="1"/>
    </row>
    <row r="998" ht="15.75" customHeight="1">
      <c r="Q998" s="1"/>
    </row>
    <row r="999" ht="15.75" customHeight="1">
      <c r="Q999" s="1"/>
    </row>
    <row r="1000" ht="15.75" customHeight="1">
      <c r="Q1000" s="1"/>
    </row>
    <row r="1001" ht="15.75" customHeight="1">
      <c r="Q1001" s="1"/>
    </row>
    <row r="1002" ht="15.75" customHeight="1">
      <c r="Q1002" s="1"/>
    </row>
  </sheetData>
  <mergeCells count="15">
    <mergeCell ref="C15:D15"/>
    <mergeCell ref="G15:I15"/>
    <mergeCell ref="B22:I22"/>
    <mergeCell ref="B28:I28"/>
    <mergeCell ref="B29:I29"/>
    <mergeCell ref="B30:I30"/>
    <mergeCell ref="B32:I32"/>
    <mergeCell ref="B33:I33"/>
    <mergeCell ref="C2:D2"/>
    <mergeCell ref="A7:A8"/>
    <mergeCell ref="D7:E8"/>
    <mergeCell ref="B10:B13"/>
    <mergeCell ref="F10:F13"/>
    <mergeCell ref="B15:B18"/>
    <mergeCell ref="F15:F18"/>
  </mergeCells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19.25"/>
    <col customWidth="1" min="3" max="3" width="15.13"/>
    <col customWidth="1" min="4" max="4" width="12.25"/>
    <col customWidth="1" min="5" max="5" width="10.0"/>
    <col customWidth="1" min="6" max="6" width="12.25"/>
    <col customWidth="1" min="7" max="8" width="10.0"/>
    <col customWidth="1" min="9" max="9" width="10.5"/>
    <col customWidth="1" min="10" max="26" width="10.0"/>
  </cols>
  <sheetData>
    <row r="1">
      <c r="A1" s="5"/>
      <c r="B1" s="68" t="s">
        <v>88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>
      <c r="A3" s="5"/>
      <c r="B3" s="69" t="s">
        <v>89</v>
      </c>
      <c r="C3" s="70">
        <f>START!C7</f>
        <v>580295.9804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>
      <c r="A4" s="5"/>
      <c r="B4" s="69" t="s">
        <v>90</v>
      </c>
      <c r="C4" s="70">
        <f>START!C8</f>
        <v>1290275.327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>
      <c r="A5" s="5"/>
      <c r="B5" s="69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>
      <c r="A6" s="5"/>
      <c r="B6" s="69"/>
      <c r="C6" s="71" t="s">
        <v>91</v>
      </c>
      <c r="D6" s="71" t="s">
        <v>92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>
      <c r="A7" s="5"/>
      <c r="B7" s="69" t="s">
        <v>93</v>
      </c>
      <c r="C7" s="5">
        <v>0.0</v>
      </c>
      <c r="D7" s="5">
        <v>0.0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>
      <c r="A8" s="5"/>
      <c r="B8" s="69" t="s">
        <v>94</v>
      </c>
      <c r="C8" s="5">
        <f>START!D10</f>
        <v>107.75</v>
      </c>
      <c r="D8" s="5">
        <f>RADIANS(C8)</f>
        <v>1.880592269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>
      <c r="A10" s="5"/>
      <c r="B10" s="69" t="s">
        <v>16</v>
      </c>
      <c r="C10" s="5">
        <f>START!D11</f>
        <v>500000</v>
      </c>
      <c r="D10" s="5"/>
      <c r="E10" s="5"/>
      <c r="F10" s="70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>
      <c r="A11" s="5"/>
      <c r="B11" s="69" t="s">
        <v>18</v>
      </c>
      <c r="C11" s="5">
        <f>START!D12</f>
        <v>0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>
      <c r="A12" s="5"/>
      <c r="B12" s="69" t="s">
        <v>20</v>
      </c>
      <c r="C12" s="5">
        <f>START!D13</f>
        <v>0.9999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>
      <c r="A14" s="5"/>
      <c r="B14" s="69" t="s">
        <v>23</v>
      </c>
      <c r="C14" s="72" t="str">
        <f>START!C15</f>
        <v>WGS84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>
      <c r="A15" s="5"/>
      <c r="B15" s="69" t="s">
        <v>95</v>
      </c>
      <c r="C15" s="70">
        <f>START!D16</f>
        <v>6378137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>
      <c r="A16" s="5"/>
      <c r="B16" s="69" t="s">
        <v>96</v>
      </c>
      <c r="C16" s="73">
        <f>START!D18</f>
        <v>298.2572236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>
      <c r="A17" s="5"/>
      <c r="B17" s="69" t="s">
        <v>97</v>
      </c>
      <c r="C17" s="5">
        <f>2*(1/C16)-(1/C16)^2</f>
        <v>0.00669437999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>
      <c r="A18" s="5"/>
      <c r="B18" s="69" t="s">
        <v>98</v>
      </c>
      <c r="C18" s="5">
        <f>C17/(1-(1/C16))^2</f>
        <v>0.006739496742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>
      <c r="A20" s="5"/>
      <c r="B20" s="74" t="s">
        <v>99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5.75" customHeight="1">
      <c r="A21" s="5"/>
      <c r="B21" s="69" t="s">
        <v>100</v>
      </c>
      <c r="C21" s="5">
        <f>(1-(1-C17)^0.5)/(1+(1-C17)^0.5)</f>
        <v>0.001679220386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5.75" customHeight="1">
      <c r="A22" s="5"/>
      <c r="B22" s="69" t="s">
        <v>101</v>
      </c>
      <c r="C22" s="5">
        <f>C15*((1-I25-I26-I27)*D7-(I28+I29+I30)*SIN(2*D7)+(I31+I32)*SIN(4*D7)-I33*SIN(6*D7))</f>
        <v>0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5.75" customHeight="1">
      <c r="A23" s="5"/>
      <c r="B23" s="69" t="s">
        <v>102</v>
      </c>
      <c r="C23" s="5">
        <f>C22+(C4-C11)/C12</f>
        <v>1290404.368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5.75" customHeight="1">
      <c r="A24" s="5"/>
      <c r="B24" s="69" t="s">
        <v>103</v>
      </c>
      <c r="C24" s="5">
        <f>C23/(C15*(1-(C17/4)-3*((C17)^2/64)-5*((C17)^3/256)))</f>
        <v>0.2026564073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5.75" customHeight="1">
      <c r="A25" s="5"/>
      <c r="B25" s="69" t="s">
        <v>104</v>
      </c>
      <c r="C25" s="5">
        <f>C24+((3*C21/2)-27*(C21^3)/32)*SIN(2*C24)+(21*(C21^2)/16-55*(C21^4)/32)*SIN(4*C24)+(151*(C21^3)/96)*SIN(6*C24)+(1097*(C21^4)/512)*SIN(8*C24)</f>
        <v>0.2036522855</v>
      </c>
      <c r="D25" s="5"/>
      <c r="E25" s="5"/>
      <c r="F25" s="5"/>
      <c r="G25" s="5"/>
      <c r="H25" s="75" t="s">
        <v>105</v>
      </c>
      <c r="I25" s="76">
        <f>C17/4</f>
        <v>0.001673594998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5.75" customHeight="1">
      <c r="A26" s="5"/>
      <c r="B26" s="69" t="s">
        <v>106</v>
      </c>
      <c r="C26" s="5">
        <f>TAN(C25)^2</f>
        <v>0.04264854127</v>
      </c>
      <c r="D26" s="5"/>
      <c r="E26" s="5"/>
      <c r="F26" s="5"/>
      <c r="G26" s="5"/>
      <c r="H26" s="77" t="s">
        <v>107</v>
      </c>
      <c r="I26" s="78">
        <f>3*(C17^2)/64</f>
        <v>0.000002100690162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5.75" customHeight="1">
      <c r="A27" s="5"/>
      <c r="B27" s="69" t="s">
        <v>108</v>
      </c>
      <c r="C27" s="5">
        <f>C15/(1-C17*(SIN(C25))^2)^0.5</f>
        <v>6379010.433</v>
      </c>
      <c r="D27" s="5"/>
      <c r="E27" s="5"/>
      <c r="F27" s="5"/>
      <c r="G27" s="5"/>
      <c r="H27" s="79" t="s">
        <v>109</v>
      </c>
      <c r="I27" s="80">
        <f>5*(C17^3)/256</f>
        <v>0.000000005859507577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5.75" customHeight="1">
      <c r="A28" s="5"/>
      <c r="B28" s="69" t="s">
        <v>110</v>
      </c>
      <c r="C28" s="5">
        <f>C15*(1-C17)/(1-C17*(SIN(C25))^2)^1.5</f>
        <v>6338042.442</v>
      </c>
      <c r="D28" s="5"/>
      <c r="E28" s="5"/>
      <c r="F28" s="5"/>
      <c r="G28" s="5"/>
      <c r="H28" s="75" t="s">
        <v>111</v>
      </c>
      <c r="I28" s="76">
        <f>3*C17/8</f>
        <v>0.002510392496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5.75" customHeight="1">
      <c r="A29" s="5"/>
      <c r="B29" s="69" t="s">
        <v>112</v>
      </c>
      <c r="C29" s="5">
        <f>C18*(COS(C25))^2</f>
        <v>0.006463824075</v>
      </c>
      <c r="D29" s="5"/>
      <c r="E29" s="5"/>
      <c r="F29" s="5"/>
      <c r="G29" s="5"/>
      <c r="H29" s="77" t="s">
        <v>113</v>
      </c>
      <c r="I29" s="78">
        <f>3*(C17^2)/32</f>
        <v>0.000004201380324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5.75" customHeight="1">
      <c r="A30" s="5"/>
      <c r="B30" s="69" t="s">
        <v>114</v>
      </c>
      <c r="C30" s="5">
        <f>(C3-C10)/(C12*C27)</f>
        <v>0.01258878813</v>
      </c>
      <c r="D30" s="5"/>
      <c r="E30" s="5"/>
      <c r="F30" s="5"/>
      <c r="G30" s="5"/>
      <c r="H30" s="79" t="s">
        <v>115</v>
      </c>
      <c r="I30" s="80">
        <f>45*(C17^3)/1024</f>
        <v>0.00000001318389205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5.75" customHeight="1">
      <c r="A31" s="5"/>
      <c r="B31" s="5"/>
      <c r="C31" s="5"/>
      <c r="D31" s="5"/>
      <c r="E31" s="5"/>
      <c r="F31" s="5"/>
      <c r="G31" s="5"/>
      <c r="H31" s="75" t="s">
        <v>116</v>
      </c>
      <c r="I31" s="76">
        <f>15*(C17^2)/256</f>
        <v>0.000002625862702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5.75" customHeight="1">
      <c r="A32" s="5"/>
      <c r="B32" s="5"/>
      <c r="C32" s="81" t="s">
        <v>92</v>
      </c>
      <c r="D32" s="81" t="s">
        <v>91</v>
      </c>
      <c r="E32" s="5"/>
      <c r="F32" s="5"/>
      <c r="G32" s="5"/>
      <c r="H32" s="79" t="s">
        <v>115</v>
      </c>
      <c r="I32" s="80">
        <f>45*(C17^3)/1024</f>
        <v>0.00000001318389205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5.75" customHeight="1">
      <c r="A33" s="5"/>
      <c r="B33" s="82" t="s">
        <v>117</v>
      </c>
      <c r="C33" s="83">
        <f>C25-(C27*(TAN(C25))/C28)*((C30^2)/2-(5+3*C26+10*C29-4*(C29^2)-9*C18)*(C30^4)/24+(61+90*C26+298*C29+45*(C26^2)-252*C18-3*C29^2)*(C30^6)/720)</f>
        <v>0.2036358169</v>
      </c>
      <c r="D33" s="83">
        <f t="shared" ref="D33:D34" si="1">DEGREES(C33)</f>
        <v>11.66747286</v>
      </c>
      <c r="E33" s="5"/>
      <c r="F33" s="5"/>
      <c r="G33" s="5"/>
      <c r="H33" s="79" t="s">
        <v>118</v>
      </c>
      <c r="I33" s="80">
        <f>35*(C17^3)/3072</f>
        <v>0.000000003418046087</v>
      </c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5.75" customHeight="1">
      <c r="A34" s="5"/>
      <c r="B34" s="82" t="s">
        <v>119</v>
      </c>
      <c r="C34" s="83">
        <f>D8+(C30-(1+2*C26+C29)*(C30^3)/6+(5-2*C29+28*C26-3*(C29^2)+8*C18+24*C26^2)*(C30^5)/120)/COS(C25)</f>
        <v>1.89344633</v>
      </c>
      <c r="D34" s="83">
        <f t="shared" si="1"/>
        <v>108.4864835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5.75" customHeight="1">
      <c r="A35" s="5"/>
      <c r="B35" s="69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5.75" customHeight="1">
      <c r="A36" s="5"/>
      <c r="B36" s="84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5.75" customHeight="1">
      <c r="A37" s="5"/>
      <c r="B37" s="84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ht="15.75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ht="15.75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ht="15.75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ht="15.75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ht="15.75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ht="15.75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ht="15.75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ht="15.75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ht="15.75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ht="15.75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ht="15.75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ht="15.75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ht="15.75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ht="15.75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ht="15.75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ht="15.75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ht="15.75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ht="15.75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ht="15.75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ht="15.75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ht="15.75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ht="15.75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ht="15.75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ht="15.75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ht="15.75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ht="15.75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ht="15.75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ht="15.75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ht="15.75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ht="15.75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ht="15.75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ht="15.75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ht="15.75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ht="15.75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ht="15.75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ht="15.75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ht="15.75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ht="15.75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ht="15.75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ht="15.75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ht="15.75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ht="15.75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ht="15.75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ht="15.75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ht="15.75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ht="15.75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ht="15.75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ht="15.75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ht="15.75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ht="15.75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ht="15.75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ht="15.75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ht="15.75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ht="15.75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ht="15.75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ht="15.75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ht="15.75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ht="15.75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ht="15.75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ht="15.75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ht="15.75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ht="15.75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ht="15.75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ht="15.75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ht="15.75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ht="15.75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ht="15.75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ht="15.75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ht="15.75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ht="15.75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ht="15.75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ht="15.75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ht="15.75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ht="15.75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ht="15.75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ht="15.75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ht="15.75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ht="15.75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ht="15.75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ht="15.75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ht="15.75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ht="15.75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ht="15.75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ht="15.75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ht="15.75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ht="15.75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ht="15.75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ht="15.75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ht="15.75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ht="15.75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ht="15.75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ht="15.75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ht="15.75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ht="15.75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ht="15.75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ht="15.75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ht="15.75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ht="15.75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ht="15.75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ht="15.75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ht="15.75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ht="15.75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ht="15.75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ht="15.75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ht="15.75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ht="15.75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ht="15.75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ht="15.75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ht="15.75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ht="15.75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ht="15.75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ht="15.75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ht="15.75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ht="15.75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ht="15.75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ht="15.75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ht="15.75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ht="15.75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ht="15.75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ht="15.75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ht="15.75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ht="15.75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ht="15.75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ht="15.75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ht="15.75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ht="15.75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ht="15.75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ht="15.75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ht="15.75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ht="15.75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ht="15.75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ht="15.75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ht="15.75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ht="15.75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ht="15.75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ht="15.75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ht="15.75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ht="15.75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ht="15.75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ht="15.75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ht="15.75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ht="15.75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ht="15.75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ht="15.75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ht="15.75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ht="15.75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ht="15.75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ht="15.75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ht="15.75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ht="15.75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ht="15.75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ht="15.75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ht="15.75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ht="15.75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ht="15.75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ht="15.75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ht="15.75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ht="15.75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ht="15.75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ht="15.75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ht="15.75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ht="15.75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ht="15.75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ht="15.75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ht="15.75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ht="15.75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ht="15.75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ht="15.75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ht="15.75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ht="15.75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ht="15.75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ht="15.75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ht="15.75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ht="15.75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ht="15.75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ht="15.75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ht="15.75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ht="15.75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ht="15.75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ht="15.75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ht="15.75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ht="15.75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ht="15.75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ht="15.75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ht="15.75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ht="15.75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ht="15.75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ht="15.75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ht="15.75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ht="15.75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ht="15.75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ht="15.75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ht="15.75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ht="15.75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ht="15.75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ht="15.75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ht="15.75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ht="15.75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ht="15.75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ht="15.75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ht="15.75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ht="15.75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ht="15.75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ht="15.75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ht="15.75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ht="15.75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ht="15.75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ht="15.75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ht="15.75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ht="15.75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ht="15.75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ht="15.75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ht="15.75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ht="15.75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ht="15.75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ht="15.75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ht="15.75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ht="15.75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ht="15.75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ht="15.75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ht="15.75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ht="15.75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ht="15.75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ht="15.75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ht="15.75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ht="15.75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ht="15.75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ht="15.75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ht="15.75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ht="15.75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ht="15.75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ht="15.75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ht="15.75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ht="15.75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ht="15.75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ht="15.75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ht="15.75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ht="15.75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ht="15.75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ht="15.75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ht="15.75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ht="15.75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ht="15.75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ht="15.75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ht="15.75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ht="15.75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ht="15.75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ht="15.75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ht="15.75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ht="15.75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ht="15.75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ht="15.75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ht="15.75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ht="15.75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ht="15.75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ht="15.75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ht="15.75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ht="15.75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ht="15.75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ht="15.75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ht="15.75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ht="15.75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ht="15.75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ht="15.75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ht="15.75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ht="15.75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ht="15.75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ht="15.75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ht="15.75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ht="15.75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ht="15.75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ht="15.75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ht="15.75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ht="15.75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ht="15.75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ht="15.75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ht="15.75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ht="15.75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ht="15.75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ht="15.75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ht="15.75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ht="15.75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ht="15.75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ht="15.75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ht="15.75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ht="15.75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ht="15.75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ht="15.75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ht="15.75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ht="15.75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ht="15.75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ht="15.75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ht="15.75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ht="15.75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ht="15.75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ht="15.75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ht="15.75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ht="15.75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ht="15.75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ht="15.75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ht="15.75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ht="15.75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</sheetData>
  <mergeCells count="1">
    <mergeCell ref="B20:C20"/>
  </mergeCells>
  <printOptions/>
  <pageMargins bottom="0.75" footer="0.0" header="0.0" left="0.7" right="0.7" top="0.75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5.13"/>
    <col customWidth="1" min="2" max="2" width="19.25"/>
    <col customWidth="1" min="3" max="3" width="15.13"/>
    <col customWidth="1" min="4" max="4" width="12.13"/>
    <col customWidth="1" min="5" max="26" width="10.0"/>
  </cols>
  <sheetData>
    <row r="1">
      <c r="A1" s="5"/>
      <c r="B1" s="68" t="s">
        <v>120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>
      <c r="A2" s="5"/>
      <c r="B2" s="69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>
      <c r="A3" s="5"/>
      <c r="B3" s="69"/>
      <c r="C3" s="71" t="s">
        <v>91</v>
      </c>
      <c r="D3" s="71" t="s">
        <v>92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>
      <c r="A4" s="5"/>
      <c r="B4" s="69" t="s">
        <v>121</v>
      </c>
      <c r="C4" s="5">
        <f>UTM_GEO!D33</f>
        <v>11.66747286</v>
      </c>
      <c r="D4" s="5">
        <f t="shared" ref="D4:D5" si="1">RADIANS(C4)</f>
        <v>0.2036358169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>
      <c r="A5" s="5"/>
      <c r="B5" s="69" t="s">
        <v>122</v>
      </c>
      <c r="C5" s="5">
        <f>UTM_GEO!D34</f>
        <v>108.4864835</v>
      </c>
      <c r="D5" s="5">
        <f t="shared" si="1"/>
        <v>1.89344633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>
      <c r="A8" s="5"/>
      <c r="B8" s="69" t="s">
        <v>23</v>
      </c>
      <c r="C8" s="72" t="str">
        <f>START!C15</f>
        <v>WGS84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>
      <c r="A9" s="5"/>
      <c r="B9" s="69" t="s">
        <v>95</v>
      </c>
      <c r="C9" s="70">
        <f>START!D16</f>
        <v>6378137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>
      <c r="A10" s="5"/>
      <c r="B10" s="69" t="s">
        <v>96</v>
      </c>
      <c r="C10" s="73">
        <f>START!D18</f>
        <v>298.2572236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>
      <c r="A11" s="5"/>
      <c r="B11" s="69" t="s">
        <v>123</v>
      </c>
      <c r="C11" s="5">
        <f>2*(1/C10)-(1/C10)^2</f>
        <v>0.00669437999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>
      <c r="A12" s="5"/>
      <c r="B12" s="69" t="s">
        <v>98</v>
      </c>
      <c r="C12" s="5">
        <f>C11/(1-(1/C10))^2</f>
        <v>0.006739496742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>
      <c r="A13" s="5"/>
      <c r="B13" s="69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>
      <c r="A14" s="5"/>
      <c r="B14" s="69" t="s">
        <v>124</v>
      </c>
      <c r="C14" s="5">
        <v>0.0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>
      <c r="A16" s="5"/>
      <c r="B16" s="74" t="s">
        <v>99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>
      <c r="A17" s="5"/>
      <c r="B17" s="69" t="s">
        <v>125</v>
      </c>
      <c r="C17" s="5">
        <f>C9/(1-C11*(SIN(D4))*(SIN(D4)))^0.5</f>
        <v>6379010.294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>
      <c r="A18" s="5"/>
      <c r="B18" s="82" t="s">
        <v>89</v>
      </c>
      <c r="C18" s="83">
        <f>(C17+C14)*(COS(D4))*(COS(D5))</f>
        <v>-1980869.814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>
      <c r="A19" s="5"/>
      <c r="B19" s="82" t="s">
        <v>90</v>
      </c>
      <c r="C19" s="83">
        <f>(C17+C14)*(COS(D4))*(SIN(D5))</f>
        <v>5924840.465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>
      <c r="A20" s="5"/>
      <c r="B20" s="82" t="s">
        <v>126</v>
      </c>
      <c r="C20" s="83">
        <f>((1-C11)*C17+C14)*SIN(D4)</f>
        <v>1281399.888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5.75" customHeight="1">
      <c r="A21" s="5"/>
      <c r="B21" s="69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5.75" customHeight="1">
      <c r="A22" s="5"/>
      <c r="B22" s="8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5.75" customHeight="1">
      <c r="A23" s="5"/>
      <c r="B23" s="8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5.75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5.75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5.75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5.75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5.75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ht="15.75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ht="15.75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ht="15.75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ht="15.75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ht="15.75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ht="15.75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ht="15.75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ht="15.75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ht="15.75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ht="15.75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ht="15.75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ht="15.75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ht="15.75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ht="15.75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ht="15.75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ht="15.75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ht="15.75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ht="15.75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ht="15.75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ht="15.75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ht="15.75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ht="15.75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ht="15.75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ht="15.75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ht="15.75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ht="15.75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ht="15.75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ht="15.75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ht="15.75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ht="15.75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ht="15.75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ht="15.75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ht="15.75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ht="15.75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ht="15.75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ht="15.75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ht="15.75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ht="15.75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ht="15.75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ht="15.75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ht="15.75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ht="15.75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ht="15.75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ht="15.75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ht="15.75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ht="15.75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ht="15.75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ht="15.75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ht="15.75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ht="15.75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ht="15.75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ht="15.75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ht="15.75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ht="15.75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ht="15.75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ht="15.75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ht="15.75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ht="15.75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ht="15.75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ht="15.75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ht="15.75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ht="15.75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ht="15.75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ht="15.75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ht="15.75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ht="15.75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ht="15.75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ht="15.75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ht="15.75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ht="15.75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ht="15.75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ht="15.75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ht="15.75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ht="15.75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ht="15.75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ht="15.75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ht="15.75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ht="15.75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ht="15.75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ht="15.75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ht="15.75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ht="15.75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ht="15.75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ht="15.75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ht="15.75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ht="15.75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ht="15.75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ht="15.75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ht="15.75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ht="15.75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ht="15.75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ht="15.75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ht="15.75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ht="15.75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ht="15.75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ht="15.75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ht="15.75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ht="15.75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ht="15.75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ht="15.75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ht="15.75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ht="15.75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ht="15.75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ht="15.75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ht="15.75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ht="15.75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ht="15.75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ht="15.75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ht="15.75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ht="15.75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ht="15.75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ht="15.75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ht="15.75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ht="15.75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ht="15.75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ht="15.75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ht="15.75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ht="15.75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ht="15.75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ht="15.75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ht="15.75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ht="15.75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ht="15.75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ht="15.75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ht="15.75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ht="15.75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ht="15.75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ht="15.75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ht="15.75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ht="15.75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ht="15.75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ht="15.75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ht="15.75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ht="15.75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ht="15.75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ht="15.75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ht="15.75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ht="15.75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ht="15.75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ht="15.75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ht="15.75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ht="15.75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ht="15.75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ht="15.75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ht="15.75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ht="15.75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ht="15.75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ht="15.75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ht="15.75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ht="15.75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ht="15.75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ht="15.75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ht="15.75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ht="15.75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ht="15.75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ht="15.75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ht="15.75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ht="15.75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ht="15.75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ht="15.75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ht="15.75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ht="15.75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ht="15.75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ht="15.75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ht="15.75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ht="15.75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ht="15.75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ht="15.75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ht="15.75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ht="15.75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ht="15.75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ht="15.75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ht="15.75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ht="15.75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ht="15.75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ht="15.75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ht="15.75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ht="15.75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ht="15.75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ht="15.75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ht="15.75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ht="15.75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ht="15.75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ht="15.75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ht="15.75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ht="15.75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ht="15.75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ht="15.75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ht="15.75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ht="15.75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ht="15.75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ht="15.75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ht="15.75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ht="15.75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ht="15.75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ht="15.75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ht="15.75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ht="15.75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ht="15.75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ht="15.75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ht="15.75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ht="15.75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ht="15.75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ht="15.75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ht="15.75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ht="15.75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ht="15.75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ht="15.75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ht="15.75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ht="15.75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ht="15.75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ht="15.75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ht="15.75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ht="15.75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ht="15.75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ht="15.75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ht="15.75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ht="15.75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ht="15.75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ht="15.75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ht="15.75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ht="15.75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ht="15.75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ht="15.75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ht="15.75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ht="15.75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ht="15.75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ht="15.75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ht="15.75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ht="15.75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ht="15.75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ht="15.75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ht="15.75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ht="15.75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ht="15.75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ht="15.75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ht="15.75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ht="15.75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ht="15.75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ht="15.75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ht="15.75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ht="15.75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ht="15.75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ht="15.75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ht="15.75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ht="15.75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ht="15.75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ht="15.75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ht="15.75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ht="15.75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ht="15.75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ht="15.75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ht="15.75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ht="15.75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ht="15.75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ht="15.75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ht="15.75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ht="15.75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ht="15.75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ht="15.75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ht="15.75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ht="15.75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ht="15.75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ht="15.75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ht="15.75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ht="15.75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ht="15.75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ht="15.75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ht="15.75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ht="15.75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ht="15.75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ht="15.75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ht="15.75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ht="15.75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ht="15.75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ht="15.75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ht="15.75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ht="15.75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ht="15.75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ht="15.75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ht="15.75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ht="15.75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ht="15.75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ht="15.75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ht="15.75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ht="15.75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ht="15.75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ht="15.75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ht="15.75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ht="15.75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ht="15.75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ht="15.75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ht="15.75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ht="15.75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ht="15.75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ht="15.75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ht="15.75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ht="15.75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ht="15.75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ht="15.75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ht="15.75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ht="15.75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</sheetData>
  <mergeCells count="1">
    <mergeCell ref="B16:C16"/>
  </mergeCells>
  <printOptions/>
  <pageMargins bottom="1.0" footer="0.0" header="0.0" left="0.75" right="0.75" top="1.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12.13"/>
    <col customWidth="1" min="3" max="26" width="10.0"/>
  </cols>
  <sheetData>
    <row r="1">
      <c r="A1" s="68" t="s">
        <v>127</v>
      </c>
      <c r="B1" s="68"/>
      <c r="C1" s="85"/>
      <c r="D1" s="85"/>
      <c r="E1" s="85"/>
      <c r="F1" s="85"/>
      <c r="G1" s="85"/>
      <c r="H1" s="85"/>
    </row>
    <row r="4">
      <c r="A4" s="85"/>
      <c r="B4" s="86" t="s">
        <v>128</v>
      </c>
      <c r="C4" s="87"/>
      <c r="D4" s="85"/>
      <c r="E4" s="85"/>
      <c r="F4" s="85"/>
      <c r="G4" s="85"/>
      <c r="H4" s="85"/>
    </row>
    <row r="5">
      <c r="A5" s="85"/>
      <c r="B5" s="88"/>
      <c r="C5" s="89"/>
      <c r="D5" s="85"/>
      <c r="E5" s="85"/>
      <c r="F5" s="85"/>
      <c r="G5" s="85"/>
      <c r="H5" s="85"/>
    </row>
    <row r="6">
      <c r="A6" s="85"/>
      <c r="B6" s="90" t="s">
        <v>129</v>
      </c>
      <c r="C6" s="91">
        <f>GEO_GEOCENTRIC!C18</f>
        <v>-1980869.814</v>
      </c>
      <c r="D6" s="85"/>
      <c r="E6" s="85"/>
      <c r="F6" s="85"/>
      <c r="G6" s="85"/>
      <c r="H6" s="85"/>
    </row>
    <row r="7">
      <c r="A7" s="85"/>
      <c r="B7" s="90" t="s">
        <v>130</v>
      </c>
      <c r="C7" s="91">
        <f>GEO_GEOCENTRIC!C19</f>
        <v>5924840.465</v>
      </c>
      <c r="D7" s="85"/>
      <c r="E7" s="85"/>
      <c r="F7" s="85"/>
      <c r="G7" s="85"/>
      <c r="H7" s="85"/>
    </row>
    <row r="8">
      <c r="A8" s="85"/>
      <c r="B8" s="90" t="s">
        <v>131</v>
      </c>
      <c r="C8" s="91">
        <f>GEO_GEOCENTRIC!C20</f>
        <v>1281399.888</v>
      </c>
      <c r="D8" s="85"/>
      <c r="E8" s="85"/>
      <c r="F8" s="85"/>
      <c r="G8" s="85"/>
      <c r="H8" s="85"/>
    </row>
    <row r="9">
      <c r="A9" s="85"/>
      <c r="B9" s="20"/>
      <c r="C9" s="92"/>
      <c r="D9" s="85"/>
      <c r="E9" s="85"/>
      <c r="F9" s="85"/>
      <c r="G9" s="85"/>
      <c r="H9" s="85"/>
    </row>
    <row r="10">
      <c r="A10" s="85"/>
      <c r="B10" s="20"/>
      <c r="C10" s="92"/>
      <c r="D10" s="85"/>
      <c r="E10" s="85"/>
      <c r="F10" s="85"/>
      <c r="G10" s="85"/>
      <c r="H10" s="85"/>
    </row>
    <row r="11">
      <c r="A11" s="85"/>
      <c r="B11" s="93" t="s">
        <v>35</v>
      </c>
      <c r="C11" s="94"/>
      <c r="D11" s="94"/>
      <c r="E11" s="94"/>
      <c r="F11" s="94"/>
      <c r="G11" s="94"/>
      <c r="H11" s="95"/>
    </row>
    <row r="12">
      <c r="A12" s="85"/>
      <c r="B12" s="96" t="s">
        <v>37</v>
      </c>
      <c r="C12" s="96" t="s">
        <v>38</v>
      </c>
      <c r="D12" s="96" t="s">
        <v>39</v>
      </c>
      <c r="E12" s="96" t="s">
        <v>40</v>
      </c>
      <c r="F12" s="96" t="s">
        <v>41</v>
      </c>
      <c r="G12" s="96" t="s">
        <v>42</v>
      </c>
      <c r="H12" s="96" t="s">
        <v>43</v>
      </c>
    </row>
    <row r="13">
      <c r="A13" s="85"/>
      <c r="B13" s="97">
        <f>START!B24</f>
        <v>191.9044143</v>
      </c>
      <c r="C13" s="97">
        <f>START!C24</f>
        <v>39.30318279</v>
      </c>
      <c r="D13" s="97">
        <f>START!D24</f>
        <v>111.4503283</v>
      </c>
      <c r="E13" s="97">
        <f>START!E24</f>
        <v>0.00928836</v>
      </c>
      <c r="F13" s="97">
        <f>START!F24</f>
        <v>-0.01975479</v>
      </c>
      <c r="G13" s="97">
        <f>START!G24</f>
        <v>0.00427372</v>
      </c>
      <c r="H13" s="97">
        <f>START!I24/1000000</f>
        <v>0</v>
      </c>
    </row>
    <row r="16">
      <c r="A16" s="85"/>
      <c r="B16" s="86" t="s">
        <v>132</v>
      </c>
      <c r="C16" s="87"/>
      <c r="D16" s="85"/>
      <c r="E16" s="85"/>
      <c r="F16" s="85"/>
      <c r="G16" s="85"/>
      <c r="H16" s="85"/>
    </row>
    <row r="17">
      <c r="B17" s="88"/>
      <c r="C17" s="89"/>
    </row>
    <row r="18">
      <c r="B18" s="98" t="s">
        <v>129</v>
      </c>
      <c r="C18" s="99">
        <f>+B13+((1+H13)*(C6+(C7*RADIANS(G13/60/60))-(C8*RADIANS(F13/60/60))))</f>
        <v>-1980677.664</v>
      </c>
    </row>
    <row r="19">
      <c r="B19" s="98" t="s">
        <v>130</v>
      </c>
      <c r="C19" s="99">
        <f>+C13+((1+H13)*(-(RADIANS(G13/60/60)*C6)+C7+(C8*RADIANS(E13/60/60))))</f>
        <v>5924879.867</v>
      </c>
    </row>
    <row r="20">
      <c r="B20" s="98" t="s">
        <v>131</v>
      </c>
      <c r="C20" s="99">
        <f>+D13+((1+H13)*((C6*RADIANS(F13/60/60))-(C7*RADIANS(E13/60/60))+C8))</f>
        <v>1281511.262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B4:C5"/>
    <mergeCell ref="B11:H11"/>
    <mergeCell ref="B16:C17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5.13"/>
    <col customWidth="1" min="2" max="2" width="19.25"/>
    <col customWidth="1" min="3" max="3" width="15.88"/>
    <col customWidth="1" min="4" max="4" width="12.63"/>
    <col customWidth="1" min="5" max="5" width="13.13"/>
    <col customWidth="1" min="6" max="6" width="15.13"/>
    <col customWidth="1" min="7" max="26" width="10.0"/>
  </cols>
  <sheetData>
    <row r="1">
      <c r="B1" s="68" t="s">
        <v>133</v>
      </c>
      <c r="C1" s="5"/>
      <c r="D1" s="5"/>
    </row>
    <row r="2">
      <c r="B2" s="69"/>
      <c r="C2" s="5"/>
      <c r="D2" s="5"/>
    </row>
    <row r="3" ht="27.0" customHeight="1">
      <c r="A3" s="100"/>
      <c r="B3" s="101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</row>
    <row r="4">
      <c r="B4" s="69" t="s">
        <v>89</v>
      </c>
      <c r="C4" s="102">
        <f>'TRANS 7 PARAMETERS'!C18</f>
        <v>-1980677.664</v>
      </c>
      <c r="D4" s="16"/>
      <c r="E4" s="16"/>
    </row>
    <row r="5">
      <c r="B5" s="69" t="s">
        <v>90</v>
      </c>
      <c r="C5" s="102">
        <f>'TRANS 7 PARAMETERS'!C19</f>
        <v>5924879.867</v>
      </c>
      <c r="D5" s="16"/>
      <c r="E5" s="16"/>
    </row>
    <row r="6">
      <c r="B6" s="69" t="s">
        <v>126</v>
      </c>
      <c r="C6" s="102">
        <f>'TRANS 7 PARAMETERS'!C20</f>
        <v>1281511.262</v>
      </c>
      <c r="D6" s="16"/>
      <c r="E6" s="16"/>
    </row>
    <row r="7">
      <c r="B7" s="5"/>
      <c r="C7" s="5"/>
      <c r="D7" s="5"/>
    </row>
    <row r="8">
      <c r="B8" s="69" t="s">
        <v>23</v>
      </c>
      <c r="C8" s="72" t="str">
        <f>START!G15</f>
        <v>WGS84</v>
      </c>
      <c r="D8" s="5"/>
    </row>
    <row r="9">
      <c r="B9" s="69" t="s">
        <v>95</v>
      </c>
      <c r="C9" s="70">
        <f>START!I16</f>
        <v>6378137</v>
      </c>
      <c r="D9" s="5"/>
    </row>
    <row r="10">
      <c r="B10" s="69" t="s">
        <v>134</v>
      </c>
      <c r="C10" s="70">
        <f>START!I17</f>
        <v>6356752.314</v>
      </c>
      <c r="D10" s="5"/>
    </row>
    <row r="11">
      <c r="B11" s="69" t="s">
        <v>96</v>
      </c>
      <c r="C11" s="73">
        <f>START!I18</f>
        <v>298.2572236</v>
      </c>
      <c r="D11" s="5"/>
    </row>
    <row r="12">
      <c r="B12" s="69" t="s">
        <v>135</v>
      </c>
      <c r="C12" s="5">
        <f>2*(1/C11)-(1/C11)^2</f>
        <v>0.00669437999</v>
      </c>
      <c r="D12" s="5"/>
    </row>
    <row r="13">
      <c r="B13" s="69" t="s">
        <v>98</v>
      </c>
      <c r="C13" s="5">
        <f>C12/(1-(1/C11))^2</f>
        <v>0.006739496742</v>
      </c>
      <c r="D13" s="5"/>
    </row>
    <row r="14">
      <c r="B14" s="69"/>
      <c r="C14" s="5"/>
      <c r="D14" s="5"/>
    </row>
    <row r="15">
      <c r="B15" s="69" t="s">
        <v>124</v>
      </c>
      <c r="C15" s="5">
        <f>GEO_GEOCENTRIC!C14</f>
        <v>0</v>
      </c>
      <c r="D15" s="5"/>
    </row>
    <row r="16">
      <c r="B16" s="5"/>
      <c r="C16" s="5"/>
      <c r="D16" s="5"/>
    </row>
    <row r="17">
      <c r="B17" s="74" t="s">
        <v>99</v>
      </c>
      <c r="D17" s="5"/>
    </row>
    <row r="18">
      <c r="B18" s="69" t="s">
        <v>125</v>
      </c>
      <c r="C18" s="5">
        <f>GEO_GEOCENTRIC!C17</f>
        <v>6379010.294</v>
      </c>
      <c r="D18" s="5"/>
    </row>
    <row r="19">
      <c r="B19" s="69" t="s">
        <v>136</v>
      </c>
      <c r="C19" s="5">
        <f>((C4^2)+(C5^2))^0.5</f>
        <v>6247182.201</v>
      </c>
      <c r="D19" s="5"/>
    </row>
    <row r="20">
      <c r="B20" s="69" t="s">
        <v>137</v>
      </c>
      <c r="C20" s="5">
        <f>ATAN((C6*C9)/(C19*C10))</f>
        <v>0.2029895976</v>
      </c>
      <c r="D20" s="5"/>
    </row>
    <row r="21" ht="15.75" customHeight="1">
      <c r="B21" s="5"/>
      <c r="C21" s="5"/>
      <c r="D21" s="5"/>
    </row>
    <row r="22" ht="15.75" customHeight="1">
      <c r="B22" s="69"/>
      <c r="C22" s="81" t="s">
        <v>92</v>
      </c>
      <c r="D22" s="81" t="s">
        <v>91</v>
      </c>
    </row>
    <row r="23" ht="15.75" customHeight="1">
      <c r="A23" s="5"/>
      <c r="B23" s="82" t="s">
        <v>121</v>
      </c>
      <c r="C23" s="83">
        <f>ATAN((C6+C13*C10*(SIN(C20)^3))/(C19-C12*C9*(COS(C20))^3))</f>
        <v>0.2036537776</v>
      </c>
      <c r="D23" s="83">
        <f>DEGREES(C23)</f>
        <v>11.66850194</v>
      </c>
      <c r="E23" s="103"/>
      <c r="F23" s="104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5.75" customHeight="1">
      <c r="A24" s="5"/>
      <c r="B24" s="82" t="s">
        <v>122</v>
      </c>
      <c r="C24" s="83">
        <f>(ATAN(C5/C4))</f>
        <v>-1.248177494</v>
      </c>
      <c r="D24" s="83">
        <f>D29</f>
        <v>108.4846975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5.75" customHeight="1">
      <c r="B25" s="82" t="s">
        <v>124</v>
      </c>
      <c r="C25" s="83">
        <f>(C19/(COS(C23)))-C18</f>
        <v>-0.3924663365</v>
      </c>
      <c r="D25" s="83">
        <f>IF(C25&gt;0,DEGREES(C25),-(180-DEGREES(C25)))</f>
        <v>-202.4866647</v>
      </c>
    </row>
    <row r="26" ht="15.75" customHeight="1"/>
    <row r="27" ht="15.75" hidden="1" customHeight="1">
      <c r="C27" s="4" t="str">
        <f>IF(START!D10&gt;=0,"","OESTE")</f>
        <v/>
      </c>
      <c r="D27" s="4">
        <f>IF(C24&gt;=0,-(180-DEGREES(C24)),DEGREES(C24))</f>
        <v>-71.51530247</v>
      </c>
    </row>
    <row r="28" ht="15.75" hidden="1" customHeight="1">
      <c r="C28" s="4" t="str">
        <f>IF(START!D10&gt;=0,"ESTE","")</f>
        <v>ESTE</v>
      </c>
      <c r="D28" s="4">
        <f>IF(C24&gt;=0,DEGREES(C24),(180+DEGREES(C24)))</f>
        <v>108.4846975</v>
      </c>
    </row>
    <row r="29" ht="15.75" hidden="1" customHeight="1">
      <c r="C29" s="4" t="str">
        <f>IF(C27&lt;&gt;"",C27,C28)</f>
        <v>ESTE</v>
      </c>
      <c r="D29" s="4">
        <f>IF(C27&lt;&gt;"",D27,D28)</f>
        <v>108.4846975</v>
      </c>
    </row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B17:C17"/>
  </mergeCells>
  <printOptions/>
  <pageMargins bottom="1.0" footer="0.0" header="0.0" left="0.75" right="0.75" top="1.0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5.13"/>
    <col customWidth="1" min="2" max="2" width="29.88"/>
    <col customWidth="1" min="3" max="3" width="12.63"/>
    <col customWidth="1" min="4" max="5" width="10.38"/>
    <col customWidth="1" min="6" max="6" width="12.25"/>
    <col customWidth="1" min="7" max="8" width="10.0"/>
    <col customWidth="1" min="9" max="9" width="10.5"/>
    <col customWidth="1" min="10" max="26" width="10.0"/>
  </cols>
  <sheetData>
    <row r="1">
      <c r="A1" s="5"/>
      <c r="B1" s="68" t="s">
        <v>138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>
      <c r="A3" s="5"/>
      <c r="B3" s="5"/>
      <c r="C3" s="81" t="s">
        <v>91</v>
      </c>
      <c r="D3" s="81" t="s">
        <v>92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>
      <c r="A4" s="5"/>
      <c r="B4" s="69" t="s">
        <v>121</v>
      </c>
      <c r="C4" s="5">
        <f>GEOCENTRIC_GEO!D23</f>
        <v>11.66850194</v>
      </c>
      <c r="D4" s="5">
        <f t="shared" ref="D4:D7" si="1">RADIANS(C4)</f>
        <v>0.2036537776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>
      <c r="A5" s="5"/>
      <c r="B5" s="69" t="s">
        <v>122</v>
      </c>
      <c r="C5" s="5">
        <f>GEOCENTRIC_GEO!D24</f>
        <v>108.4846975</v>
      </c>
      <c r="D5" s="5">
        <f t="shared" si="1"/>
        <v>1.89341516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>
      <c r="A6" s="5"/>
      <c r="B6" s="69" t="s">
        <v>139</v>
      </c>
      <c r="C6" s="5">
        <v>0.0</v>
      </c>
      <c r="D6" s="5">
        <f t="shared" si="1"/>
        <v>0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>
      <c r="A7" s="5"/>
      <c r="B7" s="69" t="s">
        <v>140</v>
      </c>
      <c r="C7" s="5">
        <f>START!I10</f>
        <v>105</v>
      </c>
      <c r="D7" s="5">
        <f t="shared" si="1"/>
        <v>1.832595715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>
      <c r="A9" s="5"/>
      <c r="B9" s="69" t="s">
        <v>16</v>
      </c>
      <c r="C9" s="5">
        <f>START!I11</f>
        <v>500000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>
      <c r="A10" s="5"/>
      <c r="B10" s="69" t="s">
        <v>18</v>
      </c>
      <c r="C10" s="5">
        <f>START!I12</f>
        <v>0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>
      <c r="A11" s="5"/>
      <c r="B11" s="69" t="s">
        <v>20</v>
      </c>
      <c r="C11" s="5">
        <f>START!I13</f>
        <v>0.9996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>
      <c r="A13" s="5"/>
      <c r="B13" s="69" t="s">
        <v>23</v>
      </c>
      <c r="C13" s="72" t="str">
        <f>START!G15</f>
        <v>WGS84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>
      <c r="A14" s="5"/>
      <c r="B14" s="69" t="s">
        <v>95</v>
      </c>
      <c r="C14" s="70">
        <f>START!I16</f>
        <v>6378137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>
      <c r="A15" s="5"/>
      <c r="B15" s="69" t="s">
        <v>96</v>
      </c>
      <c r="C15" s="73">
        <f>START!I18</f>
        <v>298.2572236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>
      <c r="A16" s="5"/>
      <c r="B16" s="69" t="s">
        <v>141</v>
      </c>
      <c r="C16" s="5">
        <f>2*(1/C15)-(1/C15)^2</f>
        <v>0.00669437999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>
      <c r="A17" s="5"/>
      <c r="B17" s="69" t="s">
        <v>98</v>
      </c>
      <c r="C17" s="5">
        <f>C16/(1-(1/C15))^2</f>
        <v>0.006739496742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>
      <c r="A19" s="5"/>
      <c r="B19" s="74" t="s">
        <v>99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>
      <c r="A20" s="5"/>
      <c r="B20" s="69" t="s">
        <v>142</v>
      </c>
      <c r="C20" s="5">
        <f>(D5-D7)*COS(D4)</f>
        <v>0.05956255938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5.75" customHeight="1">
      <c r="A21" s="5"/>
      <c r="B21" s="69" t="s">
        <v>143</v>
      </c>
      <c r="C21" s="5">
        <f>TAN(D4)^2</f>
        <v>0.04264918381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5.75" customHeight="1">
      <c r="A22" s="5"/>
      <c r="B22" s="69" t="s">
        <v>144</v>
      </c>
      <c r="C22" s="5">
        <f>C14/(1-C16*SIN(D4)^2)^0.5</f>
        <v>6379010.446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5.75" customHeight="1">
      <c r="A23" s="5"/>
      <c r="B23" s="69" t="s">
        <v>145</v>
      </c>
      <c r="C23" s="5">
        <f>(C16)*(COS(D4)^2)/(1-C16)</f>
        <v>0.006463820091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5.75" customHeight="1">
      <c r="A24" s="5"/>
      <c r="B24" s="69" t="s">
        <v>146</v>
      </c>
      <c r="C24" s="5">
        <f>C14*((1-I24-I25-I26)*D4-(I27+I28+I29)*SIN(2*D4)+(I30+I31)*SIN(4*D4)-I32*SIN(6*D4))</f>
        <v>1290413.824</v>
      </c>
      <c r="D24" s="5"/>
      <c r="E24" s="5"/>
      <c r="F24" s="5"/>
      <c r="G24" s="5"/>
      <c r="H24" s="75" t="s">
        <v>147</v>
      </c>
      <c r="I24" s="76">
        <f>C16/4</f>
        <v>0.001673594998</v>
      </c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5.75" customHeight="1">
      <c r="A25" s="5"/>
      <c r="B25" s="69" t="s">
        <v>148</v>
      </c>
      <c r="C25" s="5">
        <f>C14*((1-I24-I25-I26)*D6-(I27+I28+I29)*SIN(2*D6)+(I30+I31)*SIN(4*D6)-I32*SIN(6*D6))</f>
        <v>0</v>
      </c>
      <c r="D25" s="5"/>
      <c r="E25" s="5"/>
      <c r="F25" s="5"/>
      <c r="G25" s="5"/>
      <c r="H25" s="77" t="s">
        <v>107</v>
      </c>
      <c r="I25" s="78">
        <f>3*(C16^2)/64</f>
        <v>0.000002100690162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5.75" customHeight="1">
      <c r="A26" s="5"/>
      <c r="B26" s="69"/>
      <c r="C26" s="5"/>
      <c r="D26" s="5"/>
      <c r="E26" s="5"/>
      <c r="F26" s="5"/>
      <c r="G26" s="5"/>
      <c r="H26" s="79" t="s">
        <v>109</v>
      </c>
      <c r="I26" s="80">
        <f>5*(C16^3)/256</f>
        <v>0.000000005859507577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5.75" customHeight="1">
      <c r="A27" s="5"/>
      <c r="B27" s="82" t="s">
        <v>149</v>
      </c>
      <c r="C27" s="83">
        <f>C9+C11*C22*(C20+((1-C21+C23)*(C20^3)/6)+((5-18*C21+(C21^2)+72*C23-58*C17)*(C20^5)/120))</f>
        <v>880014.8222</v>
      </c>
      <c r="D27" s="5"/>
      <c r="E27" s="5"/>
      <c r="F27" s="5"/>
      <c r="G27" s="5"/>
      <c r="H27" s="75" t="s">
        <v>150</v>
      </c>
      <c r="I27" s="76">
        <f>3*C16/8</f>
        <v>0.002510392496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5.75" customHeight="1">
      <c r="A28" s="5"/>
      <c r="B28" s="82" t="s">
        <v>151</v>
      </c>
      <c r="C28" s="83">
        <f>C10+C11*(C24-C25+(C22*TAN(D4)*((((C20^2)/2)+(5-C21+9*C23+4*C23^2)*(C20^4)/24)+((61-58*C21+C21^2+600*C23-330*C17)*(C20^6)/720))))</f>
        <v>1292237.013</v>
      </c>
      <c r="D28" s="5"/>
      <c r="E28" s="5"/>
      <c r="F28" s="5"/>
      <c r="G28" s="5"/>
      <c r="H28" s="77" t="s">
        <v>113</v>
      </c>
      <c r="I28" s="78">
        <f>3*(C16^2)/32</f>
        <v>0.000004201380324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5.75" customHeight="1">
      <c r="A29" s="5"/>
      <c r="B29" s="5"/>
      <c r="C29" s="5"/>
      <c r="D29" s="5"/>
      <c r="E29" s="5"/>
      <c r="F29" s="5"/>
      <c r="G29" s="5"/>
      <c r="H29" s="79" t="s">
        <v>115</v>
      </c>
      <c r="I29" s="80">
        <f>45*(C16^3)/1024</f>
        <v>0.00000001318389205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5.75" customHeight="1">
      <c r="A30" s="5"/>
      <c r="B30" s="5"/>
      <c r="C30" s="5"/>
      <c r="D30" s="5"/>
      <c r="E30" s="5"/>
      <c r="F30" s="5"/>
      <c r="G30" s="5"/>
      <c r="H30" s="75" t="s">
        <v>152</v>
      </c>
      <c r="I30" s="76">
        <f>15*(C16^2)/256</f>
        <v>0.000002625862702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5.75" customHeight="1">
      <c r="A31" s="5"/>
      <c r="B31" s="5"/>
      <c r="C31" s="5"/>
      <c r="D31" s="5"/>
      <c r="E31" s="5"/>
      <c r="F31" s="5"/>
      <c r="G31" s="5"/>
      <c r="H31" s="79" t="s">
        <v>115</v>
      </c>
      <c r="I31" s="80">
        <f>45*(C16^3)/1024</f>
        <v>0.00000001318389205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5.75" customHeight="1">
      <c r="A32" s="5"/>
      <c r="B32" s="5"/>
      <c r="C32" s="5"/>
      <c r="D32" s="5"/>
      <c r="E32" s="5"/>
      <c r="F32" s="5"/>
      <c r="G32" s="5"/>
      <c r="H32" s="79" t="s">
        <v>118</v>
      </c>
      <c r="I32" s="80">
        <f>35*(C16^3)/3072</f>
        <v>0.000000003418046087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ht="15.75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ht="15.75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ht="15.75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ht="15.75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ht="15.75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ht="15.75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ht="15.75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ht="15.75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ht="15.75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ht="15.75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ht="15.75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ht="15.75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ht="15.75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ht="15.75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ht="15.75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ht="15.75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ht="15.75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ht="15.75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ht="15.75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ht="15.75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ht="15.75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ht="15.75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ht="15.75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ht="15.75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ht="15.75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ht="15.75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ht="15.75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ht="15.75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ht="15.75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ht="15.75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ht="15.75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ht="15.75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ht="15.75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ht="15.75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ht="15.75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ht="15.75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ht="15.75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ht="15.75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ht="15.75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ht="15.75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ht="15.75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ht="15.75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ht="15.75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ht="15.75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ht="15.75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ht="15.75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ht="15.75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ht="15.75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ht="15.75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ht="15.75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ht="15.75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ht="15.75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ht="15.75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ht="15.75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ht="15.75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ht="15.75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ht="15.75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ht="15.75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ht="15.75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ht="15.75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ht="15.75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ht="15.75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ht="15.75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ht="15.75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ht="15.75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ht="15.75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ht="15.75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ht="15.75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ht="15.75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ht="15.75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ht="15.75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ht="15.75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ht="15.75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ht="15.75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ht="15.75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ht="15.75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ht="15.75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ht="15.75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ht="15.75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ht="15.75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ht="15.75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ht="15.75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ht="15.75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ht="15.75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ht="15.75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ht="15.75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ht="15.75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ht="15.75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ht="15.75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ht="15.75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ht="15.75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ht="15.75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ht="15.75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ht="15.75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ht="15.75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ht="15.75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ht="15.75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ht="15.75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ht="15.75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ht="15.75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ht="15.75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ht="15.75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ht="15.75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ht="15.75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ht="15.75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ht="15.75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ht="15.75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ht="15.75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ht="15.75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ht="15.75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ht="15.75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ht="15.75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ht="15.75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ht="15.75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ht="15.75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ht="15.75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ht="15.75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ht="15.75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ht="15.75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ht="15.75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ht="15.75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ht="15.75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ht="15.75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ht="15.75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ht="15.75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ht="15.75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ht="15.75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ht="15.75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ht="15.75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ht="15.75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ht="15.75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ht="15.75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ht="15.75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ht="15.75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ht="15.75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ht="15.75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ht="15.75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ht="15.75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ht="15.75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ht="15.75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ht="15.75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ht="15.75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ht="15.75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ht="15.75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ht="15.75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ht="15.75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ht="15.75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ht="15.75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ht="15.75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ht="15.75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ht="15.75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ht="15.75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ht="15.75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ht="15.75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ht="15.75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ht="15.75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ht="15.75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ht="15.75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ht="15.75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ht="15.75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ht="15.75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ht="15.75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ht="15.75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ht="15.75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ht="15.75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ht="15.75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ht="15.75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ht="15.75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ht="15.75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ht="15.75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ht="15.75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ht="15.75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ht="15.75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ht="15.75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ht="15.75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ht="15.75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ht="15.75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ht="15.75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ht="15.75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ht="15.75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ht="15.75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ht="15.75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ht="15.75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ht="15.75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ht="15.75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ht="15.75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ht="15.75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ht="15.75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ht="15.75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ht="15.75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ht="15.75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ht="15.75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ht="15.75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ht="15.75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ht="15.75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ht="15.75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ht="15.75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ht="15.75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ht="15.75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ht="15.75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ht="15.75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ht="15.75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ht="15.75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ht="15.75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ht="15.75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ht="15.75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ht="15.75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ht="15.75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ht="15.75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ht="15.75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ht="15.75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ht="15.75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ht="15.75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ht="15.75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ht="15.75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ht="15.75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ht="15.75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ht="15.75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ht="15.75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ht="15.75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ht="15.75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ht="15.75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ht="15.75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ht="15.75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ht="15.75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ht="15.75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ht="15.75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ht="15.75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ht="15.75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ht="15.75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ht="15.75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ht="15.75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ht="15.75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ht="15.75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ht="15.75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ht="15.75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ht="15.75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ht="15.75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ht="15.75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ht="15.75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ht="15.75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ht="15.75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ht="15.75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ht="15.75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ht="15.75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ht="15.75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ht="15.75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ht="15.75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ht="15.75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ht="15.75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ht="15.75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ht="15.75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ht="15.75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ht="15.75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ht="15.75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ht="15.75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ht="15.75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ht="15.75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ht="15.75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ht="15.75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ht="15.75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ht="15.75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ht="15.75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ht="15.75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ht="15.75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ht="15.75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ht="15.75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ht="15.75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ht="15.75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ht="15.75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ht="15.75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ht="15.75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ht="15.75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ht="15.75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ht="15.75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ht="15.75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ht="15.75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ht="15.75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ht="15.75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ht="15.75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ht="15.75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ht="15.75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ht="15.75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ht="15.75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ht="15.75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ht="15.75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ht="15.75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ht="15.75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ht="15.75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ht="15.75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ht="15.75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ht="15.75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ht="15.75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ht="15.75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ht="15.75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ht="15.75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ht="15.75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ht="15.75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ht="15.75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ht="15.75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ht="15.75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ht="15.75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</sheetData>
  <mergeCells count="1">
    <mergeCell ref="B19:C19"/>
  </mergeCells>
  <printOptions/>
  <pageMargins bottom="0.75" footer="0.0" header="0.0" left="0.7" right="0.7" top="0.75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7.63"/>
    <col customWidth="1" min="3" max="3" width="34.88"/>
    <col customWidth="1" min="4" max="4" width="40.0"/>
    <col customWidth="1" min="5" max="5" width="9.88"/>
    <col customWidth="1" min="6" max="6" width="9.5"/>
    <col customWidth="1" min="7" max="7" width="8.88"/>
    <col customWidth="1" min="8" max="8" width="9.0"/>
    <col customWidth="1" min="9" max="9" width="9.13"/>
    <col customWidth="1" min="10" max="10" width="8.88"/>
    <col customWidth="1" min="11" max="11" width="9.63"/>
    <col customWidth="1" min="12" max="26" width="7.63"/>
  </cols>
  <sheetData>
    <row r="1">
      <c r="E1" s="105" t="s">
        <v>35</v>
      </c>
      <c r="F1" s="106"/>
      <c r="G1" s="106"/>
      <c r="H1" s="106"/>
      <c r="I1" s="106"/>
      <c r="J1" s="106"/>
      <c r="K1" s="107"/>
    </row>
    <row r="2">
      <c r="E2" s="108" t="s">
        <v>37</v>
      </c>
      <c r="F2" s="109" t="s">
        <v>38</v>
      </c>
      <c r="G2" s="109" t="s">
        <v>39</v>
      </c>
      <c r="H2" s="109" t="s">
        <v>40</v>
      </c>
      <c r="I2" s="109" t="s">
        <v>41</v>
      </c>
      <c r="J2" s="109" t="s">
        <v>42</v>
      </c>
      <c r="K2" s="110" t="s">
        <v>43</v>
      </c>
    </row>
    <row r="3">
      <c r="D3" s="4" t="s">
        <v>153</v>
      </c>
      <c r="E3" s="111">
        <v>-191.90441429</v>
      </c>
      <c r="F3" s="112">
        <v>-39.30318279</v>
      </c>
      <c r="G3" s="112">
        <v>-111.4503283</v>
      </c>
      <c r="H3" s="112">
        <v>-0.00928836</v>
      </c>
      <c r="I3" s="112">
        <v>0.01975479</v>
      </c>
      <c r="J3" s="112">
        <v>-0.00427372</v>
      </c>
      <c r="K3" s="113">
        <v>2.52906277E-7</v>
      </c>
    </row>
    <row r="4">
      <c r="D4" s="4" t="s">
        <v>154</v>
      </c>
      <c r="E4" s="114">
        <v>191.90441429</v>
      </c>
      <c r="F4" s="115">
        <v>39.30318279</v>
      </c>
      <c r="G4" s="115">
        <v>111.4503283</v>
      </c>
      <c r="H4" s="115">
        <v>0.00928836</v>
      </c>
      <c r="I4" s="116">
        <v>-0.01975479</v>
      </c>
      <c r="J4" s="117">
        <v>0.00427372</v>
      </c>
      <c r="K4" s="80">
        <v>-2.52906277E-7</v>
      </c>
    </row>
    <row r="5">
      <c r="E5" s="5"/>
      <c r="F5" s="5"/>
      <c r="G5" s="5"/>
      <c r="H5" s="5"/>
      <c r="I5" s="5"/>
      <c r="J5" s="5"/>
      <c r="K5" s="5"/>
    </row>
    <row r="7">
      <c r="D7" s="118" t="s">
        <v>155</v>
      </c>
      <c r="E7" s="119" t="s">
        <v>20</v>
      </c>
    </row>
    <row r="8">
      <c r="C8" s="120" t="s">
        <v>156</v>
      </c>
      <c r="D8" s="121" t="s">
        <v>157</v>
      </c>
      <c r="E8" s="122">
        <v>0.9999</v>
      </c>
    </row>
    <row r="9">
      <c r="C9" s="120" t="s">
        <v>158</v>
      </c>
      <c r="D9" s="123" t="s">
        <v>24</v>
      </c>
      <c r="E9" s="124">
        <v>0.9996</v>
      </c>
    </row>
    <row r="12">
      <c r="D12" s="7"/>
      <c r="E12" s="7"/>
      <c r="H12" s="7"/>
      <c r="I12" s="7"/>
      <c r="J12" s="7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E1:K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75"/>
    <col customWidth="1" min="2" max="2" width="10.63"/>
    <col customWidth="1" min="3" max="3" width="10.88"/>
    <col customWidth="1" min="4" max="4" width="11.38"/>
    <col customWidth="1" min="5" max="26" width="7.63"/>
  </cols>
  <sheetData>
    <row r="1" ht="21.0" customHeight="1">
      <c r="A1" s="125" t="s">
        <v>89</v>
      </c>
      <c r="B1" s="125" t="s">
        <v>90</v>
      </c>
      <c r="C1" s="125" t="s">
        <v>159</v>
      </c>
      <c r="D1" s="125" t="s">
        <v>160</v>
      </c>
      <c r="H1" s="126" t="s">
        <v>161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2.25"/>
    <col customWidth="1" min="2" max="26" width="7.63"/>
  </cols>
  <sheetData>
    <row r="1" ht="27.0" customHeight="1">
      <c r="A1" s="127" t="s">
        <v>162</v>
      </c>
    </row>
    <row r="2">
      <c r="A2" s="128" t="s">
        <v>163</v>
      </c>
    </row>
    <row r="3" ht="16.5" customHeight="1">
      <c r="A3" s="128" t="s">
        <v>164</v>
      </c>
    </row>
    <row r="4" ht="21.0" customHeight="1">
      <c r="A4" s="129" t="s">
        <v>165</v>
      </c>
    </row>
    <row r="5" ht="18.0" customHeight="1">
      <c r="A5" s="129" t="s">
        <v>166</v>
      </c>
    </row>
    <row r="6" ht="21.75" customHeight="1">
      <c r="A6" s="129" t="s">
        <v>167</v>
      </c>
    </row>
    <row r="7" ht="15.0" customHeight="1">
      <c r="A7" s="130" t="s">
        <v>168</v>
      </c>
    </row>
    <row r="8">
      <c r="A8" s="4" t="s">
        <v>169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ài liệu" ma:contentTypeID="0x010100D212626C33E4BF41998D9912C00E6B5A" ma:contentTypeVersion="15" ma:contentTypeDescription="Tạo tài liệu mới." ma:contentTypeScope="" ma:versionID="496e9b47896f70dde023ac676ccde949">
  <xsd:schema xmlns:xsd="http://www.w3.org/2001/XMLSchema" xmlns:xs="http://www.w3.org/2001/XMLSchema" xmlns:p="http://schemas.microsoft.com/office/2006/metadata/properties" xmlns:ns2="ee602cbf-6f28-49a3-a57f-75352706df36" xmlns:ns3="5c8de27b-a9b5-47bc-847a-71b4f4b4fb02" targetNamespace="http://schemas.microsoft.com/office/2006/metadata/properties" ma:root="true" ma:fieldsID="c1104d81b1e3e2b20ec55bb838551a13" ns2:_="" ns3:_="">
    <xsd:import namespace="ee602cbf-6f28-49a3-a57f-75352706df36"/>
    <xsd:import namespace="5c8de27b-a9b5-47bc-847a-71b4f4b4fb02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602cbf-6f28-49a3-a57f-75352706df3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hia sẻ Với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Chia sẻ Có Chi tiết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1314521a-9bc7-44ed-99aa-b0d87bda0c37}" ma:internalName="TaxCatchAll" ma:showField="CatchAllData" ma:web="ee602cbf-6f28-49a3-a57f-75352706df3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8de27b-a9b5-47bc-847a-71b4f4b4fb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Thẻ Hình ảnh" ma:readOnly="false" ma:fieldId="{5cf76f15-5ced-4ddc-b409-7134ff3c332f}" ma:taxonomyMulti="true" ma:sspId="9f936ee4-7d02-4b25-9bef-ded5670f5b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2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Loại Nội dung"/>
        <xsd:element ref="dc:title" minOccurs="0" maxOccurs="1" ma:index="4" ma:displayName="Tiêu đề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FBFA89D-FB2B-4C4E-B4F5-BD36C42F5378}"/>
</file>

<file path=customXml/itemProps2.xml><?xml version="1.0" encoding="utf-8"?>
<ds:datastoreItem xmlns:ds="http://schemas.openxmlformats.org/officeDocument/2006/customXml" ds:itemID="{B24BE1F0-C78F-49A4-A3E2-ACE0D4D09707}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2012-05-05T14:03:01Z</dcterms:created>
  <dc:creator>Marcos</dc:creator>
</cp:coreProperties>
</file>